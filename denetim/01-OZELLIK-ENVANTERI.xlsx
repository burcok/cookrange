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Özellik envanteri" sheetId="1" state="visible" r:id="rId3"/>
    <sheet name="Özet" sheetId="2" state="visible" r:id="rId4"/>
    <sheet name="Okuma notu" sheetId="3" state="visible" r:id="rId5"/>
  </sheets>
  <definedNames>
    <definedName function="false" hidden="true" localSheetId="0" name="_xlnm._FilterDatabase" vbProcedure="false">'Özellik envanteri'!$A$1:$N$93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<sst xmlns="http://schemas.openxmlformats.org/spreadsheetml/2006/main" count="1380" uniqueCount="705">
  <si>
    <t xml:space="preserve">ID</t>
  </si>
  <si>
    <t xml:space="preserve">Özellik</t>
  </si>
  <si>
    <t xml:space="preserve">Kategori</t>
  </si>
  <si>
    <t xml:space="preserve">Uygulama durumu</t>
  </si>
  <si>
    <t xml:space="preserve">Uygulama kanıtı</t>
  </si>
  <si>
    <t xml:space="preserve">Site durumu</t>
  </si>
  <si>
    <t xml:space="preserve">Site kanıtı</t>
  </si>
  <si>
    <t xml:space="preserve">Pazarlama durumu</t>
  </si>
  <si>
    <t xml:space="preserve">Pazarlama kanıtı</t>
  </si>
  <si>
    <t xml:space="preserve">Çakışma tipi</t>
  </si>
  <si>
    <t xml:space="preserve">Uygulanan kural</t>
  </si>
  <si>
    <t xml:space="preserve">Karar</t>
  </si>
  <si>
    <t xml:space="preserve">Aksiyon</t>
  </si>
  <si>
    <t xml:space="preserve">Öncelik</t>
  </si>
  <si>
    <t xml:space="preserve">01</t>
  </si>
  <si>
    <t xml:space="preserve">Haftalık plan üretimi (pazar günü)</t>
  </si>
  <si>
    <t xml:space="preserve">PLAN VE KAYIT</t>
  </si>
  <si>
    <t xml:space="preserve">KISMEN VAR</t>
  </si>
  <si>
    <t xml:space="preserve">weekly_meal_plan_service.dart:67 — üretim istemcide, talep üzerine. Sunucuda plan üreten cron yok; functions/index.js:997 weeklyPlanReadyNotifier yalnızca pazartesi 07:00 UTC push atıyor, .limit(500)</t>
  </si>
  <si>
    <t xml:space="preserve">İDDİA EDİYOR</t>
  </si>
  <si>
    <t xml:space="preserve">hero-data.ts:731 + ozellikler/beslenme-ve-planlama.astro:15 — "Hafta, pazar günü yazıldı."</t>
  </si>
  <si>
    <t xml:space="preserve">GEÇİYOR</t>
  </si>
  <si>
    <t xml:space="preserve">basin-kiti.astro:46; HERO-CURRENT-STATE.md:117 — "haftalık yemek planı"</t>
  </si>
  <si>
    <t xml:space="preserve">TİP D</t>
  </si>
  <si>
    <t xml:space="preserve">K1</t>
  </si>
  <si>
    <t xml:space="preserve">"Pazar günü" hiçbir kaynakta karşılığı olmayan bir gün. Planı kullanıcı üretir; hatırlatma pazartesi 07:00 UTC.</t>
  </si>
  <si>
    <t xml:space="preserve">Site: "Haftalık planını istediğin an üretirsin." 500 kullanıcı tavanı nedeniyle bildirim "herkese gider" diye anlatılmaz.</t>
  </si>
  <si>
    <t xml:space="preserve">YÜKSEK</t>
  </si>
  <si>
    <t xml:space="preserve">02</t>
  </si>
  <si>
    <t xml:space="preserve">Vücut verisine göre kişiselleştirme</t>
  </si>
  <si>
    <t xml:space="preserve">TAM VAR</t>
  </si>
  <si>
    <t xml:space="preserve">calorie_calculator.dart:3-40 — Mifflin-St Jeor BMR + 5 aktivite çarpanı</t>
  </si>
  <si>
    <t xml:space="preserve">ozellikler/beslenme-ve-planlama.astro:19 — "vücuduna, hedeflerine ve gerçekten pişirebileceğin şeylere göre"</t>
  </si>
  <si>
    <t xml:space="preserve">basin-kiti.astro:64 — "kullanıcının vücut verilerine ... göre üretilir"</t>
  </si>
  <si>
    <t xml:space="preserve">TEMİZ</t>
  </si>
  <si>
    <t xml:space="preserve">K3</t>
  </si>
  <si>
    <t xml:space="preserve">Üç kaynak uyumlu. Site formül adını vererek somutlaşabilir.</t>
  </si>
  <si>
    <t xml:space="preserve">Opsiyonel: "Mifflin-St Jeor formülü" eklenir. UYARI: veri eksikse sistem sessizce 170cm/70kg/30/erkek varsayıyor (weekly_meal_plan_service.dart:301-304) → TODO.</t>
  </si>
  <si>
    <t xml:space="preserve">ORTA</t>
  </si>
  <si>
    <t xml:space="preserve">03</t>
  </si>
  <si>
    <t xml:space="preserve">Hedefe göre kişiselleştirme</t>
  </si>
  <si>
    <t xml:space="preserve">calorie_calculator.dart:48-55 — adjustTDEEForGoal, sabit ±500 kcal</t>
  </si>
  <si>
    <t xml:space="preserve">ai-yemek-plani-olusturma.astro:12 — "hedefin (kilo verme, koruma, kas kazanımı)"</t>
  </si>
  <si>
    <t xml:space="preserve">basin-kiti.astro:46,64</t>
  </si>
  <si>
    <t xml:space="preserve">—</t>
  </si>
  <si>
    <t xml:space="preserve">Uyumlu. Kod içi tutarsızlık var: onboarding'in klinik 0,4-0,75 kg/hafta kırpması plan üretiminde kullanılmıyor.</t>
  </si>
  <si>
    <t xml:space="preserve">Kod içi tutarsızlık TODO'ya. Metin değişikliği gerekmiyor.</t>
  </si>
  <si>
    <t xml:space="preserve">04</t>
  </si>
  <si>
    <t xml:space="preserve">Alerjen filtresi</t>
  </si>
  <si>
    <t xml:space="preserve">allergen_safety.dart:3-16,21 — 12 anahtar / 8 alerjen grubu; weekly_meal_plan_service.dart:90-104 havuzu önceden temizliyor, boşsa üretmeyi reddediyor</t>
  </si>
  <si>
    <t xml:space="preserve">ozellikler/beslenme-ve-planlama.astro:24 — "filtre sen öğünleri görmeden önce uygulanır"</t>
  </si>
  <si>
    <t xml:space="preserve">blog/tr/alerjen-filtreleme-...md:41 — "kullanıcı öğünleri görmeden önce elenir"</t>
  </si>
  <si>
    <t xml:space="preserve">Kod iddiadan GÜÇLÜ. Havuz boşsa plan üretilmiyor — site bunu söylemiyor.</t>
  </si>
  <si>
    <t xml:space="preserve">Sitede eklenir: "8 alerjen grubu" + "havuzda güvenli yemek kalmazsa plan üretilmez". "12 alerjen" YAZILMAZ (anahtarlar örtüşüyor).</t>
  </si>
  <si>
    <t xml:space="preserve">05</t>
  </si>
  <si>
    <t xml:space="preserve">Bütçeye göre plan üretimi</t>
  </si>
  <si>
    <t xml:space="preserve">YOK</t>
  </si>
  <si>
    <t xml:space="preserve">budget|bütçe|cost|price → lib/, dish_data.dart, tr.json, en.json genelinde 0 sonuç. Yemek verisinde fiyat alanı yok</t>
  </si>
  <si>
    <t xml:space="preserve">ai-yemek-plani-olusturma.astro:16 — "mutfakta ayırabileceğin süre ve haftalık bütçen"</t>
  </si>
  <si>
    <t xml:space="preserve">GEÇİYOR (TEK KAYNAK)</t>
  </si>
  <si>
    <t xml:space="preserve">basin-kiti.astro:64 — "alerjenlerine ve bütçesine göre üretilir". Sayfa :38 "düzenlenmeden kullanılması tercih edilir" diyor</t>
  </si>
  <si>
    <t xml:space="preserve">TİP A</t>
  </si>
  <si>
    <t xml:space="preserve">K7</t>
  </si>
  <si>
    <t xml:space="preserve">İddia kaldırılır, özellik DEĞERLENDİR kovasına. Fiyat verisi kaynağı olmadan yapılamaz.</t>
  </si>
  <si>
    <t xml:space="preserve">"Bütçe" siteden ve basın kiti boilerplate'inin 4 sürümünden çıkarılır. "Süre" iddiası DOĞRULANAMADI → o da çıkar.</t>
  </si>
  <si>
    <t xml:space="preserve">ACİL</t>
  </si>
  <si>
    <t xml:space="preserve">06</t>
  </si>
  <si>
    <t xml:space="preserve">Gerçekçi ve yerel yemek seçimi</t>
  </si>
  <si>
    <t xml:space="preserve">dish_data.dart — 75 yemek (kahvaltı 18 / öğle 25 / akşam 29 / ara öğün 3), TR+EN çift adlı, makro ve malzeme tam</t>
  </si>
  <si>
    <t xml:space="preserve">KISMEN ANILIYOR</t>
  </si>
  <si>
    <t xml:space="preserve">yemek-plani-uygulamasi.astro:79 — yalnızca mock örnek: "Menemen ve yulaf", "Tavuklu bulgur kâsesi". Sayı verilmiyor</t>
  </si>
  <si>
    <t xml:space="preserve">KISMİ</t>
  </si>
  <si>
    <t xml:space="preserve">HERO-CURRENT-STATE.md:93,110 — yalnızca mock</t>
  </si>
  <si>
    <t xml:space="preserve">TİP B</t>
  </si>
  <si>
    <t xml:space="preserve">Sitenin kullanmadığı, DOĞRULANABİLİR tek somut rakam bu.</t>
  </si>
  <si>
    <t xml:space="preserve">Sitede kullanılır: "Havuzda 75 Türk yemeği var." Ara öğün yalnızca 3 → "atıştırmalık çeşitliliği" iddiası verilmez.</t>
  </si>
  <si>
    <t xml:space="preserve">07</t>
  </si>
  <si>
    <t xml:space="preserve">Alternatif öneriler / malzeme ikamesi</t>
  </si>
  <si>
    <t xml:space="preserve">Malzeme eşdeğerlik ikamesi hiç yok. Var olan: bütün-yemek swapMeal (weekly_meal_plan_service.dart:222) + 2 makro alternatifi (:363). swapMeal toplamları güncellemiyor (:259-277) → sessiz veri bozulması</t>
  </si>
  <si>
    <t xml:space="preserve">ozellikler/sponsorlu-urunler.astro:43 — "sen o boşluğun alternatiflerini açtığında görünür"</t>
  </si>
  <si>
    <t xml:space="preserve">DESIGN-INVENTORY.md:91 — yalnızca mock buton "Değiştir"</t>
  </si>
  <si>
    <t xml:space="preserve">İkame iddiası kaldırılır. Ayrıca swapMeal veri doğruluğu hatası düzeltilir (S7).</t>
  </si>
  <si>
    <t xml:space="preserve">İddia kalkar (zaten geri çekilecek sayfada). swapMeal total_calories/macros yeniden hesabı TODO → S7.</t>
  </si>
  <si>
    <t xml:space="preserve">08</t>
  </si>
  <si>
    <t xml:space="preserve">Market listesi, reyona göre gruplu</t>
  </si>
  <si>
    <t xml:space="preserve">SADECE ARAYÜZ VAR</t>
  </si>
  <si>
    <t xml:space="preserve">Reyon sayısı 0. Yalnızca 2 grup: shopping.to_buy / shopping.in_cart (shopping_list_screen.dart:298-301). ingredient_model.dart:1-22 — kategori/reyon alanı YOK</t>
  </si>
  <si>
    <t xml:space="preserve">ozellikler/beslenme-ve-planlama.astro:59 — "28 öğün ... 34 ürüne indirgenir ve 7 market reyonuna göre gruplanır" (8 sayfada aynı üçlü)</t>
  </si>
  <si>
    <t xml:space="preserve">DESIGN-INVENTORY.md:94,109 — "28 öğünü 34 ürüne indi, 7 reyona ayrıldı"</t>
  </si>
  <si>
    <t xml:space="preserve">K7 + K1</t>
  </si>
  <si>
    <t xml:space="preserve">28 savunulabilir (7 gün × 4 öğün). 34 ve 7 kaynaksız, reyon özelliği yok.</t>
  </si>
  <si>
    <t xml:space="preserve">"34 ürün" ve "7 reyon" kaldırılır. Reyon gruplaması S8'e (Efor S) — sitenin en ucuz TİP A kapanışı.</t>
  </si>
  <si>
    <t xml:space="preserve">09</t>
  </si>
  <si>
    <t xml:space="preserve">Tek adımda özelleştirme — metinle</t>
  </si>
  <si>
    <t xml:space="preserve">Serbest metinle besin analizi ve tarif üretimi VAR. Planı serbest metinle özelleştirme YOK: prompt_service.dart'ta 3 prompt, hiçbiri kullanıcı metni parametresi almıyor</t>
  </si>
  <si>
    <t xml:space="preserve">ozellikler/yapay-zeka-koc.astro:38 — "muza çikolata sosu döktüm"</t>
  </si>
  <si>
    <t xml:space="preserve">basin-kiti.astro:66 — "tek tek atıştırmalıklar da serbest metinle düzenlenebilir"</t>
  </si>
  <si>
    <t xml:space="preserve">K7 + K2</t>
  </si>
  <si>
    <t xml:space="preserve">Plan düzenleme iddiası kalkar; var olan gerçek öne çıkar.</t>
  </si>
  <si>
    <t xml:space="preserve">Site: "...yazarsın; yapay zekâ besin değerini çıkarır ve kaydına ekler." Basın kiti cümlesi çıkar.</t>
  </si>
  <si>
    <t xml:space="preserve">10</t>
  </si>
  <si>
    <t xml:space="preserve">Tek adımda özelleştirme — fotoğrafla</t>
  </si>
  <si>
    <t xml:space="preserve">Fotoğrafla KAYIT tam var (analyzeFoodPhoto). Fotoğrafla plan özelleştirme YOK</t>
  </si>
  <si>
    <t xml:space="preserve">ANILMIYOR</t>
  </si>
  <si>
    <t xml:space="preserve">Fotoğraf yalnızca kayıt yolu olarak geçiyor; plan özelleştirme kanalı olarak değil</t>
  </si>
  <si>
    <t xml:space="preserve">Site iddia etmiyor. Çakışma yok.</t>
  </si>
  <si>
    <t xml:space="preserve">Aksiyon gerekmiyor.</t>
  </si>
  <si>
    <t xml:space="preserve">DÜŞÜK</t>
  </si>
  <si>
    <t xml:space="preserve">11</t>
  </si>
  <si>
    <t xml:space="preserve">Uyum motoru: gün içi aktiviteye göre plan güncellemesi</t>
  </si>
  <si>
    <t xml:space="preserve">home.dart:1179-1198 — yakılan kalori yalnızca gösteriliyor, hedefi değiştirmiyor. weekly_meal_plan_service.dart:316-321 — yeniden üretim hash'inde kilo, aktivite, tüketim YOK</t>
  </si>
  <si>
    <t xml:space="preserve">İDDİA EDİYOR (ÇEKİRDEK)</t>
  </si>
  <si>
    <t xml:space="preserve">ozellikler/yapay-zeka-koc.astro:15 "Plan bunu zaten biliyor" + hakkimizda.astro:15 H1 + glossary/tr/adaptif-beslenme-plani.md:5 + comparisons + KEYWORD-MAP.md:14 birincil kelime</t>
  </si>
  <si>
    <t xml:space="preserve">GEÇİYOR (ÇEKİRDEK)</t>
  </si>
  <si>
    <t xml:space="preserve">TONE-OF-VOICE.md:39 "Sıfırlamak yerine" markanın kilitli karşıtlığı; personas/tr/kilo-yonetimi.md:26</t>
  </si>
  <si>
    <t xml:space="preserve">EN KRİTİK BULGU. Tüm konumlandırma var olmayan bir özelliğe dayanıyor. Metin bugün düzeltilir, özellik SONRA (S5, Efor L).</t>
  </si>
  <si>
    <t xml:space="preserve">Site: "Yakılan kalori günün üstünde görünür. Planı yeniden ürettiğinde bu veriyi hesaba katar." Sözlük tanımı daraltılır, URL korunur.</t>
  </si>
  <si>
    <t xml:space="preserve">12</t>
  </si>
  <si>
    <t xml:space="preserve">Değişmezlik ilkesi: kayıtlı öğünler yerinden oynamaz</t>
  </si>
  <si>
    <t xml:space="preserve">firestore.rules:163-165 — food_logs allow read, write: if isOwner(uid); update+delete serbest. Aynı dosyada checkins için allow update, delete: if false VAR → desen biliniyor, uygulanmamış</t>
  </si>
  <si>
    <t xml:space="preserve">ozellikler/yapay-zeka-koc.astro:24 — "Kaydedilmiş hiçbir öğün geriye dönük değiştirilmez."</t>
  </si>
  <si>
    <t xml:space="preserve">basin-kiti.astro:65 — "plan sıfırdan yeniden üretilmez, yalnızca henüz yenmemiş öğünler ayarlanır"</t>
  </si>
  <si>
    <t xml:space="preserve">İki katman ayrılır: plan geçmişi yeniden yazmaz (boş vaat, uyum motoru yok) / kayıt değiştirilemez (kural düzeyinde yanlış). Seri ve liderlik tablosu manipüle edilebilir.</t>
  </si>
  <si>
    <t xml:space="preserve">Metin "Plan geçmiş kayıtlarını yeniden yazmaz" ile sınırlanır. Kural düzeltmesi S6 (Efor S).</t>
  </si>
  <si>
    <t xml:space="preserve">13</t>
  </si>
  <si>
    <t xml:space="preserve">Günün planından kayıt</t>
  </si>
  <si>
    <t xml:space="preserve">KAYIT YOLLARI</t>
  </si>
  <si>
    <t xml:space="preserve">home.dart:1505 → food_log_service.dart:30</t>
  </si>
  <si>
    <t xml:space="preserve">ozellikler/beslenme-ve-planlama.astro:33 — "beş yolu var: günün planı, hızlı ekle..."</t>
  </si>
  <si>
    <t xml:space="preserve">HERO-CURRENT-STATE.md:136</t>
  </si>
  <si>
    <t xml:space="preserve">Uyumlu. Kod içi tutarsızlık: logMeal başarım tetiklemiyor, logRecipe tetikliyor.</t>
  </si>
  <si>
    <t xml:space="preserve">Tutarsızlık TODO'ya. Metin değişikliği gerekmiyor.</t>
  </si>
  <si>
    <t xml:space="preserve">14</t>
  </si>
  <si>
    <t xml:space="preserve">Hızlı ekle</t>
  </si>
  <si>
    <t xml:space="preserve">recent_food_service.dart:70,86 — son 10 ve en sık 10 kayıt, .limit() doğru kullanılmış</t>
  </si>
  <si>
    <t xml:space="preserve">fiyatlandirma.astro:9 — "Sınırsız öğün kaydı (barkod, hızlı ekle...)"</t>
  </si>
  <si>
    <t xml:space="preserve">blog/en/the-first-30-days-...md:45</t>
  </si>
  <si>
    <t xml:space="preserve">Uyumlu; "sınırsız" bu yol için DOĞRU.</t>
  </si>
  <si>
    <t xml:space="preserve">Opsiyonel somutlaştırma: "son ve en sık 10 öğün".</t>
  </si>
  <si>
    <t xml:space="preserve">15</t>
  </si>
  <si>
    <t xml:space="preserve">Tarif arama</t>
  </si>
  <si>
    <t xml:space="preserve">Anlatılan şey değil: explore_screen.dart:77 — sorgu ingredients:[query] olarak AI'ya gidiyor; katalogda metin araması YOK. :59-67 her arama 1 AI kredisi harcıyor → ücretsizde günde 2. targetCalories:500 sabit</t>
  </si>
  <si>
    <t xml:space="preserve">fiyatlandirma.astro:9 — "Sınırsız öğün kaydı (barkod, hızlı ekle, tarif arama, fotoğraf)"; faq/tr/ucretsiz-mi.md aynı taahhüt</t>
  </si>
  <si>
    <t xml:space="preserve">blog/en/the-first-30-days-...md:49</t>
  </si>
  <si>
    <t xml:space="preserve">K1 + K4</t>
  </si>
  <si>
    <t xml:space="preserve">Anlatılan şey arama değil, kotalı AI üretimi. Hem ad hem kapsam yanlış (ikincil TİP E).</t>
  </si>
  <si>
    <t xml:space="preserve">Ad: "tarif üretimi". Ücretsiz katman listesinden çıkarılır ya da kota yazılır.</t>
  </si>
  <si>
    <t xml:space="preserve">16</t>
  </si>
  <si>
    <t xml:space="preserve">Fotoğraftan öğün analizi</t>
  </si>
  <si>
    <t xml:space="preserve">analyzeFoodPhoto — 4 makro + 7 zenginleştirilmiş alan (lif, şeker, sodyum, sağlık puanı, alerjen, güven skoru, gram); yurt dışı aktarım bilgilendirmesi mevcut</t>
  </si>
  <si>
    <t xml:space="preserve">nasil-calisir.astro:16 — "veya fotoğrafla kaydet"; mekanizma ve rakam yok</t>
  </si>
  <si>
    <t xml:space="preserve">blog/en/how-to-track-macros...md:70 — analiz adıyla anlatılmıyor</t>
  </si>
  <si>
    <t xml:space="preserve">Zengin çıktı sitede görünmüyor.</t>
  </si>
  <si>
    <t xml:space="preserve">Sitede somutlaştırılır: 4 makro + lif, şeker, sodyum, alerjen tahmini. DOĞRULANAMADI: kotaya bağlı mı (bkz. 07 numaralı dosya D1).</t>
  </si>
  <si>
    <t xml:space="preserve">17</t>
  </si>
  <si>
    <t xml:space="preserve">Barkod okuma, Türkiye ürün veritabanı</t>
  </si>
  <si>
    <t xml:space="preserve">Okuma çalışıyor. Barkodla eşleşen TR PAKETLİ ÜRÜN kaynağı YOK: barcode_lookup_service.dart:45-46 → world.openfoodfacts.org/api/v0, küresel, TR filtresi yok, eski v0 API, timeout 10sn, önbellek yalnızca bellek içi (:49). firestore.rules ve firestore.indexes.json'da products koleksiyonu HİÇ YOK. (TR yemek verisi dish_data.dart ve TR il/ilçe verisi turkish_locations.dart mevcut — eksik olan ürün tablosu)</t>
  </si>
  <si>
    <t xml:space="preserve">ozellikler/beslenme-ve-planlama.astro:33 "Türkiye barkod veritabanı ... yaklaşık 2,4 saniye"; changelog/tr/v0-9-6.md "ortalama 2,4 saniye"; faq/en/barcode-database.md:11 "far more accurately recognized"</t>
  </si>
  <si>
    <t xml:space="preserve">GEÇİYOR (EN YOĞUN)</t>
  </si>
  <si>
    <t xml:space="preserve">HERO-CURRENT-STATE.md:127; TONE-OF-VOICE.md:14 "2,4 saniye"yi iyi sayı örneği olarak kural metnine gömmüş</t>
  </si>
  <si>
    <t xml:space="preserve">K7 + K1 + K3</t>
  </si>
  <si>
    <t xml:space="preserve">Sitedeki en çok tekrarlanan yanlış iddia (20+ dosya). Ayrıca MyFitnessPal karşılaştırması TERSİNE DÖNMÜŞ: rakip "küresel, kullanıcı katkılı" diye kötülenirken Cookrange tam onu kullanıyor.</t>
  </si>
  <si>
    <t xml:space="preserve">"Türkiye veritabanı" ve "2,4 saniye" tüm yüzeylerden kalkar. Changelog'a düzeltme notu. Karşılaştırma tablosu düzeltilir.</t>
  </si>
  <si>
    <t xml:space="preserve">18</t>
  </si>
  <si>
    <t xml:space="preserve">Yapay zekâya serbest soru sorma</t>
  </si>
  <si>
    <t xml:space="preserve">ai_chat_service.dart:29-57 — profil bağlamlı sistem prompt'u, prompt injection koruması; voice_assistant_overlay.dart sesli mod. Geçmiş kalıcı değil. Kota: ücretsiz 2/gün, Premium 20/gün</t>
  </si>
  <si>
    <t xml:space="preserve">Yalnızca "Neden?" gerekçe butonu geçiyor; sohbet yüzeyi sitede hiç yok</t>
  </si>
  <si>
    <t xml:space="preserve">Çalışan, farklılaştırıcı, rakiplerde nadir bir yüzey sitede görünmüyor.</t>
  </si>
  <si>
    <t xml:space="preserve">yapay-zeka-koc.astro'ya "Sorabilirsin" bölümü eklenir; sesli mod ayrıca anlatılır.</t>
  </si>
  <si>
    <t xml:space="preserve">19</t>
  </si>
  <si>
    <t xml:space="preserve">Salona özel kod</t>
  </si>
  <si>
    <t xml:space="preserve">SPOR SALONU</t>
  </si>
  <si>
    <t xml:space="preserve">gym_model.dart:22-43 — 22 alan, kod alanı yok; grep gym_code → 0. Var olan: QR jetonu 32 karakter / 24 saat (gym_service.dart:369-380)</t>
  </si>
  <si>
    <t xml:space="preserve">Tek "kod" QR check-in</t>
  </si>
  <si>
    <t xml:space="preserve">GEÇİYOR (QR olarak)</t>
  </si>
  <si>
    <t xml:space="preserve">personas/tr/spor-salonlari.md:25 — "tek bir QR turnike sistemi"</t>
  </si>
  <si>
    <t xml:space="preserve">Site kayıt/atıf kodu iddia etmiyor. QR check-in gerçek.</t>
  </si>
  <si>
    <t xml:space="preserve">Aksiyon gerekmiyor. Kayıt atıf kodu istenirse yeni özellik.</t>
  </si>
  <si>
    <t xml:space="preserve">20</t>
  </si>
  <si>
    <t xml:space="preserve">Kodla kayıt → salona gelir</t>
  </si>
  <si>
    <t xml:space="preserve">TODO.md:2496 GYM-07, Files: none — "No gym monetization exists in code or in any prior roadmap". Var olan: referans ₺5/kişi (functions/economy.js:21), salon geliri değil</t>
  </si>
  <si>
    <t xml:space="preserve">Üç kaynak da iddia etmiyor. Ama salon ekosistemi gelir modeli olmayan bir dağıtım bahsi.</t>
  </si>
  <si>
    <t xml:space="preserve">DEĞERLENDİR kovası D2 — ürün kararı.</t>
  </si>
  <si>
    <t xml:space="preserve">21</t>
  </si>
  <si>
    <t xml:space="preserve">Kodla kayıt → salona itibar/görünürlük</t>
  </si>
  <si>
    <t xml:space="preserve">gym_service.dart:245-260 joinGym → member_count++ → :174 varsayılan sıralama. Tek metrik member_count DESC, sayfa 20</t>
  </si>
  <si>
    <t xml:space="preserve">Uyumlu. UYARI: "En Yüksek Puan" sıralaması hiç çalışamaz — GymModel'de avg_rating alanı yok, indeks yok, ama gym_service.dart:213-217 orderBy('avg_rating') çalıştırıyor → her zaman boş döner</t>
  </si>
  <si>
    <t xml:space="preserve">avg_rating sıralaması hatası TODO'ya.</t>
  </si>
  <si>
    <t xml:space="preserve">22</t>
  </si>
  <si>
    <t xml:space="preserve">Salon doluluk paneli</t>
  </si>
  <si>
    <t xml:space="preserve">occupancy|capacity|doluluk|crowd|live_count|currentlyIn → lib/ ve localization genelinde 0 eşleşme. Check-out kaydı bile yok → "içeride kaç kişi" hesaplanamaz. Var olan: gym_service.dart:453 getWeeklyAttendanceStream (son 7 gün, sahip görünümü) ve 60 günlük yoğun saat deseni — ikisi de geçmişe dönük</t>
  </si>
  <si>
    <t xml:space="preserve">ozellikler/salon-ekosistemi.astro:39 "kendi doluluğunu ... görür"; guvenlik.astro:31; fiyatlandirma.astro:10 her zaman ücretsiz listesinde</t>
  </si>
  <si>
    <t xml:space="preserve">GEÇİYOR (B2B VAADİ)</t>
  </si>
  <si>
    <t xml:space="preserve">personas/tr/spor-salonlari.md:25-26 — "hem check-in hem doluluk görünürlüğü sağlıyor"</t>
  </si>
  <si>
    <t xml:space="preserve">Salona satılan özellik yok. Var olan: yoğun saat deseni (madde 23). İfa edilemeyen taahhüt riski.</t>
  </si>
  <si>
    <t xml:space="preserve">"Doluluk" tüm salon yüzeyinden kalkar. Satış konuşması da düzeltilir. Sayaç S9'a (Efor M).</t>
  </si>
  <si>
    <t xml:space="preserve">23</t>
  </si>
  <si>
    <t xml:space="preserve">Yoğun saat analizi</t>
  </si>
  <si>
    <t xml:space="preserve">gym_analytics_service.dart:18-23 — 4 zaman dilimi (06-12/12-18/18-22/22-05), :77-86 ısı haritası, 60 gün, 7×4=28 hücre</t>
  </si>
  <si>
    <t xml:space="preserve">guvenlik.astro:31 — "toplam doluluk ve yoğun saat verilerini görür"</t>
  </si>
  <si>
    <t xml:space="preserve">blog/en/how-gym-occupancy...md:34</t>
  </si>
  <si>
    <t xml:space="preserve">Özellik gerçek. Site bunu "doluluk" ile birlikte anıyor; doluluk kısmı ayrılıp kaldırılır.</t>
  </si>
  <si>
    <t xml:space="preserve">Somutlaştırılır: "son 60 gün, 4 zaman dilimi". UYARI: limitsiz okuma (gym_analytics_service.dart:38-48) → S10.</t>
  </si>
  <si>
    <t xml:space="preserve">24</t>
  </si>
  <si>
    <t xml:space="preserve">Otomatik konum tabanlı salon içi işaretleme</t>
  </si>
  <si>
    <t xml:space="preserve">gym_service.dart:403-418 gpsCheckIn (ELLE tetikleniyor); grep geofence|autoCheckIn → 0. Yarıçap 100 m (gym_model.dart:63)</t>
  </si>
  <si>
    <t xml:space="preserve">Check-in açıkça QR/manuel olarak anlatılıyor</t>
  </si>
  <si>
    <t xml:space="preserve">ANILMIYOR (AKSİ)</t>
  </si>
  <si>
    <t xml:space="preserve">DESIGN-INVENTORY.md:150 — "Hiçbir konum kaydedilmez."</t>
  </si>
  <si>
    <t xml:space="preserve">Site otomatik işaretleme iddia etmiyor. RİSK: yarıçap yalnızca istemcide doğrulanıyor (firestore.rules:471-472) → salona satılan doğrulama sahtelenebilir</t>
  </si>
  <si>
    <t xml:space="preserve">Sunucu tarafı doğrulama S11. "Check-in doğrulaması" ifadesi S11 tamamlanmadan kullanılmaz.</t>
  </si>
  <si>
    <t xml:space="preserve">25</t>
  </si>
  <si>
    <t xml:space="preserve">Salonun üyelere plan örneği göndermesi</t>
  </si>
  <si>
    <t xml:space="preserve">gym_post_service.dart — API'de yalnızca metin gönderisi; gym.*plan anahtarı 0</t>
  </si>
  <si>
    <t xml:space="preserve">Üç kaynak da iddia etmiyor.</t>
  </si>
  <si>
    <t xml:space="preserve">26</t>
  </si>
  <si>
    <t xml:space="preserve">Üye izniyle eğitmen içgörüsü (Premium)</t>
  </si>
  <si>
    <t xml:space="preserve">coach_client_detail_screen.dart:100-152 — danışan verisi OpenRouter'a (yurt dışı) gidiyor. consent/permission/isPremium kelimeleri dosyada HİÇ GEÇMİYOR; tek kapı AIService().isConfigured (:102). ConsentPurpose'da koç erişimi amacı YOK</t>
  </si>
  <si>
    <t xml:space="preserve">ozellikler/ilerleme-analizi.astro:62 "Bir koç kendi sporcusunun ilerlemesini okur"; faq/tr/koc-ve-arkadas-erisimi.md "yalnızca senin ilerlemeni okur" (aktarımı anmıyor)</t>
  </si>
  <si>
    <t xml:space="preserve">personas/tr/kocular.md:25 — mevcut zaman "okuyabilir"</t>
  </si>
  <si>
    <t xml:space="preserve">TİP E</t>
  </si>
  <si>
    <t xml:space="preserve">Ne izin adımı ne Premium şartı var. Denetimin en ciddi KVKK bulgusu (06 numaralı dosya C2).</t>
  </si>
  <si>
    <t xml:space="preserve">Kısa vade: N2 ile bayrak arkasına al. Kalıcı: S2 rıza akışı. Metin aktarımı açıklar.</t>
  </si>
  <si>
    <t xml:space="preserve">27</t>
  </si>
  <si>
    <t xml:space="preserve">Canlı liderlik tablosu</t>
  </si>
  <si>
    <t xml:space="preserve">gym_leaderboard_service.dart:32-38 .snapshots(); leaderboard_service.dart:38-44. Kapsam: salon 200 / global 50 / arkadaş 30; salon içi haftalık, Pzt 00:00 yerel</t>
  </si>
  <si>
    <t xml:space="preserve">hero-data.ts:764 — "bu akşamın sıralaması canlı", "34 üyeden 3." (temsili)</t>
  </si>
  <si>
    <t xml:space="preserve">DESIGN-INVENTORY.md:163,168</t>
  </si>
  <si>
    <t xml:space="preserve">Özellik gerçek. Site temsili rakam kullanıyor, kanonik tavanları vermiyor.</t>
  </si>
  <si>
    <t xml:space="preserve">Somutlaştırılır: "salon sıralaması haftalık, ilk 200 üye". Hero'ya "örnek veri" etiketi.</t>
  </si>
  <si>
    <t xml:space="preserve">28</t>
  </si>
  <si>
    <t xml:space="preserve">Salon gelir paneli (madde 60 ile birleşti)</t>
  </si>
  <si>
    <t xml:space="preserve">gym_dashboard_screen.dart:295-430 — 9 kart, gelir kartı yok. TODO.md:2496 GYM-07 Files: none</t>
  </si>
  <si>
    <t xml:space="preserve">Üç kaynak da iddia etmiyor. UYARI: GymModel.subscriptionTier alanı ve gym.stats_tier "Seviye" göstergesi arayüzde canlı → ödemeli kademe varmış izlenimi</t>
  </si>
  <si>
    <t xml:space="preserve">gym.stats_tier göstergesi kaldırılır. Gelir modeli DEĞERLENDİR D2.</t>
  </si>
  <si>
    <t xml:space="preserve">29</t>
  </si>
  <si>
    <t xml:space="preserve">Koçun plan hazırlaması</t>
  </si>
  <si>
    <t xml:space="preserve">KOÇ</t>
  </si>
  <si>
    <t xml:space="preserve">createProgram/updateProgram/publishProgram → 5 eşleşmenin tamamı servisin kendi içinde, 0 ÇAĞRI YERİ. Pazaryerindeki tek içerik: her istemcinin açılışta yazdığı 3 demo program (app_initialization_service.dart:335)</t>
  </si>
  <si>
    <t xml:space="preserve">hero-data.ts:784 — "Bir koç kendi kadrosunu okur" (yalnızca okur)</t>
  </si>
  <si>
    <t xml:space="preserve">blog/tr/koclar-icin-...md:62 — "self-servis bir kayıt akışı henüz yok"</t>
  </si>
  <si>
    <t xml:space="preserve">Site iddia etmiyor ✅. Ama pazaryerinde 3 demo program gerçek içerik gibi duruyor — ürün bütünlüğü sorunu.</t>
  </si>
  <si>
    <t xml:space="preserve">3 demo program üretim ortamından çıkarılır. Doküman düzeltilir: COACH_ECOSYSTEM.md:118 my_programs_screen'i yanlış tanıtıyor.</t>
  </si>
  <si>
    <t xml:space="preserve">30</t>
  </si>
  <si>
    <t xml:space="preserve">Plan satışı / pazaryeri</t>
  </si>
  <si>
    <t xml:space="preserve">program_detail_screen.dart:513-514 — if (!_p.isFree) return _buildPaidComingSoonBanner. Ücretsiz gerçek, ödeme entegrasyonu 0, sayfa 50</t>
  </si>
  <si>
    <t xml:space="preserve">Uygulama kendi sınırını dürüst gösteriyor ✅</t>
  </si>
  <si>
    <t xml:space="preserve">DEĞERLENDİR D3. UYARI: marketplace_terms paketli ama uygulamada gösterilmiyor (06 numaralı dosya C16a).</t>
  </si>
  <si>
    <t xml:space="preserve">31</t>
  </si>
  <si>
    <t xml:space="preserve">Ücretli koçluk</t>
  </si>
  <si>
    <t xml:space="preserve">pubspec.yaml:85 tek ödeme paketi in_app_purchase (yalnız Premium). Payout sağlayıcı 0. TODO.md:2517 COA-05 "ready but never called"</t>
  </si>
  <si>
    <t xml:space="preserve">KISMEN İDDİA</t>
  </si>
  <si>
    <t xml:space="preserve">fiyatlandirma.astro:74 — gelir kalemleri arasında "salonlar, koçlar ve white-label iş birlikleri" (mevcut zaman)</t>
  </si>
  <si>
    <t xml:space="preserve">Mevcut zaman kipi çalışan B2B gelir hattı izlenimi veriyor; yok.</t>
  </si>
  <si>
    <t xml:space="preserve">Gelecek zamana çevrilir: "Gelir modelini yayımladığımızda burada anlatacağız."</t>
  </si>
  <si>
    <t xml:space="preserve">32</t>
  </si>
  <si>
    <t xml:space="preserve">Kadro paneli</t>
  </si>
  <si>
    <t xml:space="preserve">Salon kadro paneli YOK, koç danışan listesi VAR. staff|kadro|personel → lib/+rules+tr.json genelinde 0. TODO.md:2497 GYM-08 Icebox. Koçun danışan listesi VAR</t>
  </si>
  <si>
    <t xml:space="preserve">hero-data.ts:784 — "Bir koç kendi kadrosunu okur" / "A coach reads their roster"</t>
  </si>
  <si>
    <t xml:space="preserve">HERO-CURRENT-STATE.md:280</t>
  </si>
  <si>
    <t xml:space="preserve">TİP C</t>
  </si>
  <si>
    <t xml:space="preserve">K4</t>
  </si>
  <si>
    <t xml:space="preserve">"Kadro"/"roster" salon personeli panelini çağırıyor; o panel yok. Anlatılan şey koçun danışan listesi.</t>
  </si>
  <si>
    <t xml:space="preserve">Kanonik ad: "danışan listesi" / "client list".</t>
  </si>
  <si>
    <t xml:space="preserve">33</t>
  </si>
  <si>
    <t xml:space="preserve">Üç kapsam: salon, ilçe, şehir</t>
  </si>
  <si>
    <t xml:space="preserve">TOPLULUK</t>
  </si>
  <si>
    <t xml:space="preserve">community_service.dart:102-110 — scope enum'u YOK; "Gym" filtresi 6 etiketli arrayContainsAny, üyelik değil. Filtre 6, konu 5, gerçek akış 3. Var olan zengin yapı: 3 rollü konum tabanlı topluluk grupları + turkish_locations.dart</t>
  </si>
  <si>
    <t xml:space="preserve">Yalnızca salon içi sıralama anlatılıyor</t>
  </si>
  <si>
    <t xml:space="preserve">"Üç kapsam" iddiası verilmez (yok), ama var olan grup yapısı sitede hiç yok.</t>
  </si>
  <si>
    <t xml:space="preserve">Topluluk grupları siteye eklenir. "salon / ilçe / şehir" kapsam dili KULLANILMAZ. İlçe akışı DOĞRULANAMADI (D12).</t>
  </si>
  <si>
    <t xml:space="preserve">34</t>
  </si>
  <si>
    <t xml:space="preserve">Öğün fotoğrafı paylaşımı</t>
  </si>
  <si>
    <t xml:space="preserve">create_post_card.dart:745-753 _MealFields (ad + 4 makro); 4 gönderi tipi; community.* 67 localization anahtarı; yorum/tepki/kaydetme/bildirme</t>
  </si>
  <si>
    <t xml:space="preserve">Aksine gizlilik çerçevesi ters yönde: "beslenme geçmişini ya da kilonu asla görmez"</t>
  </si>
  <si>
    <t xml:space="preserve">K3 + K5</t>
  </si>
  <si>
    <t xml:space="preserve">Tam bir sosyal katman (akış + sohbet + dürtme + rozetler) sitede görünmüyor. Denetimdeki en büyük kaybedilen değer.</t>
  </si>
  <si>
    <t xml:space="preserve">topluluk-ve-squad.astro'ya "Akış" bölümü eklenir (05 numaralı dosyada metin hazır).</t>
  </si>
  <si>
    <t xml:space="preserve">35</t>
  </si>
  <si>
    <t xml:space="preserve">Paylaşmak ve kaydetmek aynı hareket</t>
  </si>
  <si>
    <t xml:space="preserve">Tek yön: lib/screens/recipe/cooking_mode_screen.dart:489-538 — tek onay → logRecipe + createPost. Ters yön (gönderiden kayda) 0</t>
  </si>
  <si>
    <t xml:space="preserve">Marka anlatısına çok uygun, çalışan bir detay sitede yok.</t>
  </si>
  <si>
    <t xml:space="preserve">"Akış" bölümüne eklenir: "Tek onayla hem kaydın oluşur hem gönderi çıkar."</t>
  </si>
  <si>
    <t xml:space="preserve">36</t>
  </si>
  <si>
    <t xml:space="preserve">Squad: altı kişi tek seri</t>
  </si>
  <si>
    <t xml:space="preserve">streak_squad_service.dart:24-30 — 6 = DAVET KODU UZUNLUĞU (List.generate(6,...), yorum "6-char invite code"). Üye tavanı YOK (:82-113, :105 arrayUnion sınırsız). Ortak seri YOK (:171-187 her üyenin kendi serisi). KATILMA YOLU DOĞRULANAMADI: firestore.rules:642-652 squads okuma/güncelleme üyelik istiyor, joinSquad üye olmayan kullanıcıyla sorgu yapıyor → statik analizde permission-denied beklenir; inviteCode indeksi de yok. Çalışma zamanı testi yapılmadı (07/D13)</t>
  </si>
  <si>
    <t xml:space="preserve">ozellikler/topluluk-ve-squad.astro:15 "Altı sütun, tek bir seri"; glossary/tr/squad.md:5 KANONİK TANIM; changelog/tr/v0-9-6.md YAYINLANMIŞ sürüm notu</t>
  </si>
  <si>
    <t xml:space="preserve">GEÇİYOR (GÜÇLÜ)</t>
  </si>
  <si>
    <t xml:space="preserve">HERO-CURRENT-STATE.md:237 — "Six columns, one streak."</t>
  </si>
  <si>
    <t xml:space="preserve">İddianın iki parçası da yanlış. Üç yerde düzeltilir: özellik sayfası, sözlük, yayınlanmış changelog.</t>
  </si>
  <si>
    <t xml:space="preserve">"Altı kişi" ve "tek seri" kalkar. Changelog'a düzeltme notu. S4 ile çalışır hâle getirilir. Canlı test DOĞRULANAMADI (D13).</t>
  </si>
  <si>
    <t xml:space="preserve">37</t>
  </si>
  <si>
    <t xml:space="preserve">Seriler</t>
  </si>
  <si>
    <t xml:space="preserve">Farklı taban: firestore_service.dart:180-191 — difference &gt; 1 → freeze veya sıfırla. Seri GİRİŞ tabanlı, kayıt tabanlı DEĞİL. Freeze 1 hediye; taşlar 7/14/30/60/100/365</t>
  </si>
  <si>
    <t xml:space="preserve">ozellikler/topluluk-ve-squad.astro:26 "40 günlük bir seri bugün risk altında"; glossary/tr/seri-streak.md:5 "art arda KAYIT TUTULAN veya antrenman yapılan gün sayısı"</t>
  </si>
  <si>
    <t xml:space="preserve">DESIGN-INVENTORY.md:74,137</t>
  </si>
  <si>
    <t xml:space="preserve">Mekanizma uyuşmazlığı: kullanıcı hiç kayıt tutmadan seri büyütebiliyor → "seri" vaadinin içi boş.</t>
  </si>
  <si>
    <t xml:space="preserve">Ya seri kayıt tabanına çevrilir (S12) ya sözlük tanımı düzeltilir. Ürün kararı D8.</t>
  </si>
  <si>
    <t xml:space="preserve">38</t>
  </si>
  <si>
    <t xml:space="preserve">Karşılıklı arkadaşlık modeli</t>
  </si>
  <si>
    <t xml:space="preserve">friend_service.dart:16-20 — bidirectional, Cloud Functions callable, sunucu yeniden doğruluyor, istemci yazma kapalı</t>
  </si>
  <si>
    <t xml:space="preserve">ozellikler/salon-ekosistemi.astro:23 — "yalnızca karşılıklı arkadaşlar arasında ve opt-in'dir"</t>
  </si>
  <si>
    <t xml:space="preserve">HERO-CURRENT-STATE.md:97</t>
  </si>
  <si>
    <t xml:space="preserve">Doğrulandı ✅. UYARI: whereIn 30 sınırı sessizce kırpıyor → 30+ arkadaşta liste eksik görünür</t>
  </si>
  <si>
    <t xml:space="preserve">whereIn kırpması TODO'ya. Metin doğru, korunur.</t>
  </si>
  <si>
    <t xml:space="preserve">39</t>
  </si>
  <si>
    <t xml:space="preserve">Tam geçmiş, boşluklar silinmeden</t>
  </si>
  <si>
    <t xml:space="preserve">VERİ VE İLERLEME</t>
  </si>
  <si>
    <t xml:space="preserve">food_log_service.dart:248-251 — her günü boş listeyle dolduruyor, boşluklar KORUNUYOR ✅. Ama silme kuralla serbest (firestore.rules:163-165) ve getLogsForDateRange .limit() yok</t>
  </si>
  <si>
    <t xml:space="preserve">ozellikler/ilerleme-analizi.astro:26 — "Şubat ayında sadece dokuz gün ... Bu veri silinmez"; fiyatlandirma.astro:13 "Sınırsız uzun vadeli ilerleme geçmişi"</t>
  </si>
  <si>
    <t xml:space="preserve">blog/tr/neden-silinen-...md:56</t>
  </si>
  <si>
    <t xml:space="preserve">Boşluk koruma doğru. "Silinmez" kural düzeyinde garanti değil (madde 12 ile bağlı).</t>
  </si>
  <si>
    <t xml:space="preserve">"Silinmez" yerine "boş günler doldurulmaz". Kural düzeltmesi S6.</t>
  </si>
  <si>
    <t xml:space="preserve">40</t>
  </si>
  <si>
    <t xml:space="preserve">İlerleme takibi (kilo, kaldırılan ağırlık)</t>
  </si>
  <si>
    <t xml:space="preserve">Firestore'da: kalori + 4 makro + egzersiz kalorisi + seri. Tek egzersiz metriği exercise_log_model.dart:35 caloriesBurned; AĞIRLIK/SET/TEKRAR METRİĞİ 0. GÜNLÜK kilo ve su serisi YALNIZCA CİHAZDA (storage_service.dart:19-20, :143-145 Hive) → telefon değişince kayboluyor. İstisna: onboarding kilosu bir kez private/nutrition'a yazılıyor (onboarding_provider.dart:241)</t>
  </si>
  <si>
    <t xml:space="preserve">ozellikler/ilerleme-analizi.astro:20 — "squat'ının 60 kilodan 92,5 kiloya çıktığı bir Aralık"</t>
  </si>
  <si>
    <t xml:space="preserve">personas/tr/performans-sporculari.md — "tek bir sütunda saklıyor — hiçbir ay silinmiyor"</t>
  </si>
  <si>
    <t xml:space="preserve">Güç takibi hiç yok. Ayrıca "sınırsız uzun vadeli geçmiş" vaadi kilo verisi için karşılanmıyor.</t>
  </si>
  <si>
    <t xml:space="preserve">Ağırlık iddiası kalkar. "Kilo kayıtların şu an yalnızca telefonunda" eklenir. S3 ile sunucuya taşınır.</t>
  </si>
  <si>
    <t xml:space="preserve">41</t>
  </si>
  <si>
    <t xml:space="preserve">Projeksiyon: 30/60/90 gün, kesikli çizgi</t>
  </si>
  <si>
    <t xml:space="preserve">ai_insight_service.dart:212-214 — 30/60/90 var ama AI'dan gelen SERBEST CÜMLE. Fitness Twin ekranında HİÇ GRAFİK YOK. Kesikli çizgi başka yerde: nutrition_analytics_screen.dart:475-495 (7 günlük geçmişin hedef çizgisi)</t>
  </si>
  <si>
    <t xml:space="preserve">ozellikler/ilerleme-analizi.astro:32 "kesikli çizgiyle, çünkü bu bir tahmin, bir garanti değil"; :46-49 "+30 günde 76,9 kg, +60 günde 75,8 kg, +90 günde 75,1 kg"</t>
  </si>
  <si>
    <t xml:space="preserve">HERO-CURRENT-STATE.md:248,252. RİSK: hero-data.ts:851 statik çipte aynı 3 değer FERAGATSIZ</t>
  </si>
  <si>
    <t xml:space="preserve">Grafik yok, üç kilo değeri kodda yok. Feragat dili ("bir söz değil, bir öngörü") KORUNUR — sitenin en doğru cümlesi.</t>
  </si>
  <si>
    <t xml:space="preserve">"Kesikli çizgi" ve 3 kilo değeri kalkar. Feragatsız statik çipler MUTLAKA kaldırılır. Grafik S13.</t>
  </si>
  <si>
    <t xml:space="preserve">42</t>
  </si>
  <si>
    <t xml:space="preserve">Ücretsiz katmanın tam kapsamı</t>
  </si>
  <si>
    <t xml:space="preserve">İŞ MODELİ</t>
  </si>
  <si>
    <t xml:space="preserve">Gerçek tek kısıt: günde 2 AI + 12 istek/dk. Entitlements'ın 8 kapısından hiçbiri çağrılmıyor: FeatureGateService().check() → 0 ÇAĞRI YERİ, yalnızca 3 showPaywall</t>
  </si>
  <si>
    <t xml:space="preserve">fiyatlandirma.astro:8-14 — 5 madde. İkisi yanlış: "Sınırsız öğün kaydı (...tarif arama, fotoğraf)" ve "doluluk görünürlüğü". "Squad'lar" da kırık olabilir. 6 yerde "her zaman ücretsiz kalacak"</t>
  </si>
  <si>
    <t xml:space="preserve">basin-kiti.astro:69 — "Ücretsiz katman eksiksizdir"</t>
  </si>
  <si>
    <t xml:space="preserve">Kapsam uyuşmazlığı. Ayrıca "her zaman" süresiz hukuki taahhüt.</t>
  </si>
  <si>
    <t xml:space="preserve">Liste gerçeğe göre yeniden yazılır; AI kotası (2/gün) açıkça yazılır; "her zaman" kalkar.</t>
  </si>
  <si>
    <t xml:space="preserve">43</t>
  </si>
  <si>
    <t xml:space="preserve">Premium kapsamı</t>
  </si>
  <si>
    <t xml:space="preserve">Uygulanan tek fark 20 AI/gün. Sunucu functions/index.js:30-31 (2/20); kullanıcıya gösterilen ai_credit_model.dart:10-11 (2/20) — İKİSİ UYUMLU. Ölü yapılandırma: app_config_model.dart:71-72 (5/50) ve subscription_model.dart:47-51 (10/50), ikisi de hiç okunmuyor. UYGULAMA İÇİ METİN 5 YANLIŞ VAAT: premium.perk_meal_plans "Sınırsız Plan", premium.description "Reklamsız deneyim" (pubspec.yaml içinde reklam SDK'sı 0 paket), ai.paywall_feature2/3/4</t>
  </si>
  <si>
    <t xml:space="preserve">DAHA DÜRÜST</t>
  </si>
  <si>
    <t xml:space="preserve">fiyatlandirma.astro:16-20 — 3 madde, hiçbiri yanlış değil; "Fiyat lansmanda", rakam yok</t>
  </si>
  <si>
    <t xml:space="preserve">basin-kiti.astro:69 — "yalnızca ek yapay zekâ üretim hakkı satın alır"</t>
  </si>
  <si>
    <t xml:space="preserve">TİP A-TERS</t>
  </si>
  <si>
    <t xml:space="preserve">K2 (tersine)</t>
  </si>
  <si>
    <t xml:space="preserve">Site uygulamadan DAHA DÜRÜST. Ödeme alan ekranda yanlış vaat → tüketici hukuku + mağaza inceleme riski. Doğrulama turu: kullanıcıya görünen kota sunucuyla uyumlu (2/20); 5/50 ölü yapılandırma.</t>
  </si>
  <si>
    <t xml:space="preserve">5 uygulama içi dize sitenin diline çekilir. Gösterilecek kota SUNUCU değeri (2/20).</t>
  </si>
  <si>
    <t xml:space="preserve">44</t>
  </si>
  <si>
    <t xml:space="preserve">Sponsorlu ürün sıralaması</t>
  </si>
  <si>
    <t xml:space="preserve">sponsor → lib/, functions/, tr.json, en.json, firestore.rules genelinde 0 EŞLEŞME (~115k satır). Tek iz: TODO.md:2465 icebox challenge sponsorluğu, "previously built then removed"</t>
  </si>
  <si>
    <t xml:space="preserve">ozellikler/sponsorlu-urunler.astro:28 — sıralama kuralı "±%10 kalori, en az %90 protein"; :37-38,51 ₺18/₺32 örneği</t>
  </si>
  <si>
    <t xml:space="preserve">HERO-CURRENT-STATE.md:298; hero-data.ts:705 "How the free tier is funded"</t>
  </si>
  <si>
    <t xml:space="preserve">Denetimdeki EN GENİŞ KURGU. Somut mekanizma beyanı olduğu için muğlak iddiadan daha yüksek risk.</t>
  </si>
  <si>
    <t xml:space="preserve">Sayfa yayından geri çekilir (noindex), hero partners sahnesi kalkar, 2 SSS geri çekilir.</t>
  </si>
  <si>
    <t xml:space="preserve">45</t>
  </si>
  <si>
    <t xml:space="preserve">Dokunulmamış planda sıfır sponsorlu öğe</t>
  </si>
  <si>
    <t xml:space="preserve">sponsor|sponsored|sponsorlu|brand_partner|promoted|ad_slot → lib/, functions/, assets/, test/, firestore.rules genelinde 0 eşleşme. Sponsorluk kavramı olmadığı için vakıa doğru ama İLKE OLARAK UYGULANMAMIŞ</t>
  </si>
  <si>
    <t xml:space="preserve">ozellikler/sponsorlu-urunler.astro:43 — "sıfır sponsorlu ürün vardır"</t>
  </si>
  <si>
    <t xml:space="preserve">HERO-CURRENT-STATE.md:290</t>
  </si>
  <si>
    <t xml:space="preserve">44 ile aynı kaldırma kapsamında.</t>
  </si>
  <si>
    <t xml:space="preserve">Aynı sayfa geri çekilir.</t>
  </si>
  <si>
    <t xml:space="preserve">46</t>
  </si>
  <si>
    <t xml:space="preserve">Marka susturma (Premium arkasında olmaması)</t>
  </si>
  <si>
    <t xml:space="preserve">mute_brand|muteBrand|brand_mute → 0 SONUÇ. Var olan susturma bildirim susturması (notification_muted)</t>
  </si>
  <si>
    <t xml:space="preserve">ozellikler/sponsorlu-urunler.astro:45 "tek dokunuşla ... kalıcı olarak susturabilirsin"; faq/tr/sponsorlu-urunler-premium.md "kapatma anahtarı Premium'a bağlı değildir"</t>
  </si>
  <si>
    <t xml:space="preserve">HERO-CURRENT-STATE.md:298</t>
  </si>
  <si>
    <t xml:space="preserve">44 ile aynı kapsam.</t>
  </si>
  <si>
    <t xml:space="preserve">Aynı sayfa + SSS geri çekilir.</t>
  </si>
  <si>
    <t xml:space="preserve">47</t>
  </si>
  <si>
    <t xml:space="preserve">Sponsorlu ürünün ödül/indirim olarak verilmesi</t>
  </si>
  <si>
    <t xml:space="preserve">discount|coupon|promo_code|indirim → 0 eşleşme. Ödüller tamamen içsel: bonus AI kredisi, achievements.* rozetleri, seri dondurma jetonu</t>
  </si>
  <si>
    <t xml:space="preserve">ozellikler/sponsorlu-urunler.astro:68 — "tek kullanımlık bir indirim kodu"</t>
  </si>
  <si>
    <t xml:space="preserve">44 ile aynı kapsam. REDDET R4: D1 kararından önce yapılamaz.</t>
  </si>
  <si>
    <t xml:space="preserve">48</t>
  </si>
  <si>
    <t xml:space="preserve">Konum cihazda işlenir, kaydedilmez</t>
  </si>
  <si>
    <t xml:space="preserve">MAHREMİYET</t>
  </si>
  <si>
    <t xml:space="preserve">checkin_model.dart:52-58 lat/lon alanı YOK; gym_service.dart:405-416 mesafe istemcide hesaplanıp atılıyor; gym_analytics_service.dart:37-47 yalnızca zaman damgası okuyor. DOĞRULANDI ✅</t>
  </si>
  <si>
    <t xml:space="preserve">İDDİA EDİYOR (DOĞRU)</t>
  </si>
  <si>
    <t xml:space="preserve">guvenlik.astro:26 — "konum koordinatı sunucuya gönderilmez ya da kaydedilmez". AMA vaadi "yakınımdaki ARKADAŞ sıralaması"na bağlıyor; grep nearbyFriends → 0</t>
  </si>
  <si>
    <t xml:space="preserve">Vaat DOĞRU (denetimin en net örtüşmesi), ama gerekçe olarak var olmayan özellik gösterilmiş.</t>
  </si>
  <si>
    <t xml:space="preserve">"Yakınındaki salon ve koç sıralaması cihazında hesaplanır." Uygulama tarafında permission.location.rationale de eksik.</t>
  </si>
  <si>
    <t xml:space="preserve">49</t>
  </si>
  <si>
    <t xml:space="preserve">Salon vücut verisini göremez</t>
  </si>
  <si>
    <t xml:space="preserve">Vücut verisi KORUNUYOR ✅ (firestore.rules:207-211 private/{docId} owner-only; gym_member_model.dart:12-17 5 alan). AMA salon BİREYSEL veri görüyor: firestore.rules:467-470 tüm checkins, :426-429 tüm members; checkin_model uid+display_name+photo_url; gym_analytics_service.dart:99-104 14 gündür gelmeyenlerin İSİM LİSTESİ; :137-170 CSV: uid,name,joined_at,total_checkins,last_checkin,tier</t>
  </si>
  <si>
    <t xml:space="preserve">İDDİA EDİYOR (YANLIŞ)</t>
  </si>
  <si>
    <t xml:space="preserve">faq/tr/salon-veri-erisimi.md "Erişemez. Bir salon yalnızca kendi TOPLAM doluluğunu ... görür"; guvenlik.astro:31-32 "bireysel kullanıcı verisine erişimleri yoktur"</t>
  </si>
  <si>
    <t xml:space="preserve">personas/tr/spor-salonlari.md:26 — "üyelerin vücut verisine hiçbir zaman erişimi olmuyor"</t>
  </si>
  <si>
    <t xml:space="preserve">EN SİNSİ TİP. Vücut verisi kısmı doğru, "yalnızca toplam veri" kısmı yanlış. KVKK aydınlatma sorunu.</t>
  </si>
  <si>
    <t xml:space="preserve">Salonun gördüğü şey açıkça yazılır (05 ve 06 numaralı dosyalarda metin hazır).</t>
  </si>
  <si>
    <t xml:space="preserve">50</t>
  </si>
  <si>
    <t xml:space="preserve">İzin modeli ve granülerliği</t>
  </si>
  <si>
    <t xml:space="preserve">7 amaç bazlı rıza + 4 OS izni = 11 nokta; sürümlü, zaman damgalı, varsayılan kapalı ✅. AMA hasConsent (consent_service.dart:73-85) yalnızca :92'den çağrılıyor → healthData/location/aiProcessing/crossBorderTransfer/notifications geri çekilince HİÇBİR ŞEY DEĞİŞMİYOR. İki kullanım anı kapısı var ama rıza kaydını okumuyor: food_scan_screen.dart:233-241 (yerel bayrak), gym_discovery_screen.dart:134-151 (OS izni). location+notifications rıza kaydı HİÇ YAZILMIYOR (:100). Kayıtta 3 hassas amaç TEK ZORUNLU KUTUDA (:120-122, register_screen.dart:103-110)</t>
  </si>
  <si>
    <t xml:space="preserve">ozellikler/salon-ekosistemi.astro:34 "İzni reddedersen ... aynen çalışmaya devam eder"; legal/acik-riza-metni.astro:91-93 kutunun "işaretlenmemiş" ve "ayrı adımda" olduğunu iddia ediyor</t>
  </si>
  <si>
    <t xml:space="preserve">HERO-CURRENT-STATE.md:97 — "opt-in"</t>
  </si>
  <si>
    <t xml:space="preserve">Geri çekme yalnızca analytics için çalışıyor. explicit_consent_tr.md:8-10 "tamamen özgürsünüz" diyor ama kutu zorunlu; :33 zımnî rıza kuruyor → metin içi çelişki.</t>
  </si>
  <si>
    <t xml:space="preserve">S1 ile koda bağlanır. Bağlanana kadar metin gerçeği söyler. v1.0 halka açık lansman engelleyicisi.</t>
  </si>
  <si>
    <t xml:space="preserve">51</t>
  </si>
  <si>
    <t xml:space="preserve">iOS ve Android desteği</t>
  </si>
  <si>
    <t xml:space="preserve">PLATFORM</t>
  </si>
  <si>
    <t xml:space="preserve">iOS min 14.0 DOĞRULANDI (project.pbxproj:473,607,659). Android: build.gradle:79 minSdkVersion flutter.minSdkVersion — repoda SABİT YOK, 21 veya 24'e çözülür, 26'ya DEĞİL. Bundle id çelişkisi: pubspec.yaml:16 com.cookrange_ios.app ↔ project.pbxproj:496 com.cookrange-ios.app. Mağaza kaydı 0</t>
  </si>
  <si>
    <t xml:space="preserve">indir.astro:27 — "iOS 14 ve üzeri, Android 8 ve üzeri" (kesin kip). /indir mağaza linki VERMİYOR ✅ (constants.ts:9-11 null)</t>
  </si>
  <si>
    <t xml:space="preserve">basin-kiti.astro:24 — "iOS ve Android (planlanan)"</t>
  </si>
  <si>
    <t xml:space="preserve">iOS 14 ✅. Android 8 DOĞRULANAMAZ; gerçek zemin büyük olasılıkla daha düşük.</t>
  </si>
  <si>
    <t xml:space="preserve">build.gradle'a minSdkVersion 26 yazılır (iddia doğrulanır) ya da site rakamı düzeltilir. Mağaza kaydı öncesi şart. S16.</t>
  </si>
  <si>
    <t xml:space="preserve">52</t>
  </si>
  <si>
    <t xml:space="preserve">Türkçe ve İngilizce tam eşitlik</t>
  </si>
  <si>
    <t xml:space="preserve">tr.json 2725 / en.json 2725 anahtar, eksik 0, boş 0, 77 grup — ANAHTAR PARİTESİ KUSURSUZ ✅. Ama 6 doğrulanmış TR dizesi hâlâ İngilizce (üst sınır 15); i18n_parity_test.dart yalnızca ANAHTAR karşılaştırıyor, değer karşılaştırmıyor → CI göremiyor. 3 dosyada sabit İngilizce gün etiketi</t>
  </si>
  <si>
    <t xml:space="preserve">48/48 sayfa çifti, 57/57 içerik çifti, 0 yetim ✅. 2 TR-only yasal sayfa BİLİNÇLİ tasarım (routes.ts localeInvariantRoutes)</t>
  </si>
  <si>
    <t xml:space="preserve">KISMEN YANLIŞ</t>
  </si>
  <si>
    <t xml:space="preserve">basin-kiti.astro:44 "Kısa (160 karakter)" → GERÇEK 175. EN karşılığı 143 → TR/EN arası 32 karakter fark, "tam eşitlik" iddiasıyla çelişiyor</t>
  </si>
  <si>
    <t xml:space="preserve">K1 + K3</t>
  </si>
  <si>
    <t xml:space="preserve">Site düzeyinde parite gerçek. Uygulama düzeyinde anahtar paritesi gerçek, değer paritesi eksik.</t>
  </si>
  <si>
    <t xml:space="preserve">Etiket 175'e düzeltilir ya da metin kısaltılır. Parity testi değer karşılaştırsın (S15). Kesin sayı DOĞRULANAMADI (D14).</t>
  </si>
  <si>
    <t xml:space="preserve">53</t>
  </si>
  <si>
    <t xml:space="preserve">Sürüm numarası ve aşama</t>
  </si>
  <si>
    <t xml:space="preserve">pubspec.yaml:4 = 1.0.0+1 ↔ README.md:17 + PROJECT_STATE.md:15 = v0.9.6 dahili alfa. İlerleme ~%30-35, güvenlik kapıları %0, monetizasyon %0, test ~%1, 9 açık blocker</t>
  </si>
  <si>
    <t xml:space="preserve">İDDİA EDİYOR (TUTARLI)</t>
  </si>
  <si>
    <t xml:space="preserve">indir.astro:19 — "v0.9.6 dahili alfa ... TestFlight ve Play beta üzerinden test ediliyor". Site her yerde v0.9.6 ✅</t>
  </si>
  <si>
    <t xml:space="preserve">TUTARSIZ (6 AD)</t>
  </si>
  <si>
    <t xml:space="preserve">dahili alfa 14× · ÖZEL BETA/private beta 16× (8 TR + 8 EN blog) · beta öncesi/pre-beta 2× (BASIN KİTİ) · kapalı beta 2× · bekleme listesi aşaması 2× · özel erken erişim 2×</t>
  </si>
  <si>
    <t xml:space="preserve">AŞAMA ENFLASYONU: en sık kullanılan ad "private beta". Bir dil modeli "hangi aşamada?" sorusuna onunla cevap verir. robots.txt 18 AI tarayıcısına açık.</t>
  </si>
  <si>
    <t xml:space="preserve">Tek kanonik ad: "v0.9.6 dahili alfa". Diğer 5 ifade kalkar. pubspec.yaml 0.9.6'ya çekilir.</t>
  </si>
  <si>
    <t xml:space="preserve">54</t>
  </si>
  <si>
    <t xml:space="preserve">Salonlar arası haftalık meydan okuma</t>
  </si>
  <si>
    <t xml:space="preserve">ÖNERİLEN</t>
  </si>
  <si>
    <t xml:space="preserve">gym_leaderboard_service.dart:98-104 durationDays = 7; UI canlı: gym_leaderboard_screen.dart:120-132, 623-830. Metrik check-in, skor count(). Otomatik bitiş YOK. UYGULAMADA "YAKINDA GELECEK" ETİKETLİ (gym.feature_challenges). Doküman da yanlış: GYM_ECOSYSTEM.md:107,151 "effectively unbuilt"</t>
  </si>
  <si>
    <t xml:space="preserve">Tek challenge salon içi olarak geçiyor</t>
  </si>
  <si>
    <t xml:space="preserve">Yalnızca mock "Vega Ocak Challenge"</t>
  </si>
  <si>
    <t xml:space="preserve">Kontrol listesi "muhtemelen yok" diyordu — VAR. Üç kaynakta da görünmez: site anmıyor, uygulama "yakında" diyor, doküman "yapılmadı" diyor.</t>
  </si>
  <si>
    <t xml:space="preserve">"YAKINDA" etiketi kalkar (S18), siteye eklenir. Yeniden YAPILMASI REDDEDİLDİ (R3).</t>
  </si>
  <si>
    <t xml:space="preserve">55</t>
  </si>
  <si>
    <t xml:space="preserve">Hane modu (4 kişilik hane için plan)</t>
  </si>
  <si>
    <t xml:space="preserve">onboarding_provider.dart:44 — hane büyüklüğü TOPLANIYOR ama "per-person meal scaling is shelved". "4" kodda hiç geçmiyor. Backlog: TODO.md:2263 NUT-11 Icebox</t>
  </si>
  <si>
    <t xml:space="preserve">faq/tr/koc-ve-arkadas-erisimi.md — "aile ya da çoklu kullanıcı hesabı diye ayrı bir plan tanımlanmıyor" ✅</t>
  </si>
  <si>
    <t xml:space="preserve">Üç kaynak tutarlı. Veri zaten toplanıyor → efor M.</t>
  </si>
  <si>
    <t xml:space="preserve">DEĞERLENDİR D5 — hedef kitle kararı: tek kişi mi hane mi?</t>
  </si>
  <si>
    <t xml:space="preserve">56</t>
  </si>
  <si>
    <t xml:space="preserve">Market listesinin online sipariş sepetine aktarılması</t>
  </si>
  <si>
    <t xml:space="preserve">sharing_service.dart:111-133 — yalnızca düz metin paylaşımı. Entegre market 0. Backlog: TODO.md:3159 ICE-22</t>
  </si>
  <si>
    <t xml:space="preserve">"mağazada sırayla ilerleyebilirsin" (fiziksel alışveriş)</t>
  </si>
  <si>
    <t xml:space="preserve">Üç kaynak tutarlı.</t>
  </si>
  <si>
    <t xml:space="preserve">REDDET R2 — market entegrasyon sözleşmesi + SKU eşleştirme + sepet API'si yok.</t>
  </si>
  <si>
    <t xml:space="preserve">57</t>
  </si>
  <si>
    <t xml:space="preserve">Ramazan / bayram / özel dönem modları</t>
  </si>
  <si>
    <t xml:space="preserve">grep ramazan|iftar|sahur → lib/ genelinde 0 (yalnızca ilçe adları). Backlog: TODO.md:3158 ICE-21</t>
  </si>
  <si>
    <t xml:space="preserve">Üç kaynak tutarlı. TR pazarında yüksek sezonsal etki, düşük teknik risk.</t>
  </si>
  <si>
    <t xml:space="preserve">DEĞERLENDİR D6 — Ramazan 2027'ye yetişmesi için v1.2 penceresi.</t>
  </si>
  <si>
    <t xml:space="preserve">58</t>
  </si>
  <si>
    <t xml:space="preserve">Salon TV modu</t>
  </si>
  <si>
    <t xml:space="preserve">grep tv_mode|kiosk → lib/ 0; TODO.md "TV"/"kiosk" → 0; FUTURE_FEATURES.md §B'de de yok. KAYIT HİÇ YOK</t>
  </si>
  <si>
    <t xml:space="preserve">Hiçbir kaynakta iz yok. Doluluk sayacı olmadan gösterecek verisi de yok.</t>
  </si>
  <si>
    <t xml:space="preserve">REDDET R1 — salon pilotundan gerçek talep gelirse yeniden değerlendirilir.</t>
  </si>
  <si>
    <t xml:space="preserve">59</t>
  </si>
  <si>
    <t xml:space="preserve">Diyetisyen onay katmanı</t>
  </si>
  <si>
    <t xml:space="preserve">Diyetisyen rolü 0. TODO.md:2513 COA-04 risk notu: "Approving unverified people to give nutrition advice is a liability. The screens exist; the standard does not". Backlog: ICE-24, ICE-18</t>
  </si>
  <si>
    <t xml:space="preserve">faq/tr/diyetisyen-yerine-gecer-mi.md — "Hayır... tıbbi cihaz değildir" ✅</t>
  </si>
  <si>
    <t xml:space="preserve">blog/tr/makro-...md:81 — "bir diyetisyene danışmak en doğrusu" ✅</t>
  </si>
  <si>
    <t xml:space="preserve">Üç kaynak tutarlı ve dürüst. UYARI: koç incelemeleri ilişki doğrulaması olmadan yazılabiliyor ve değiştirilemez.</t>
  </si>
  <si>
    <t xml:space="preserve">DEĞERLENDİR D7 — önce standart, sonra kod.</t>
  </si>
  <si>
    <t xml:space="preserve">60</t>
  </si>
  <si>
    <t xml:space="preserve">Salon gelir paneli</t>
  </si>
  <si>
    <t xml:space="preserve">28 ile birleştirildi. TODO.md:2496 GYM-07 Files: none. Kanonik ID: 28</t>
  </si>
  <si>
    <t xml:space="preserve">BİRLEŞTİ</t>
  </si>
  <si>
    <t xml:space="preserve">Brief "28 ile aynıysa birleştir" diyor → birleştirildi. Denetlenen madde sayısı 60.</t>
  </si>
  <si>
    <t xml:space="preserve">Bkz. madde 28.</t>
  </si>
  <si>
    <t xml:space="preserve">61</t>
  </si>
  <si>
    <t xml:space="preserve">Kayıt boşluğu telafisi ("geri dön" akışı)</t>
  </si>
  <si>
    <t xml:space="preserve">3 parça, birleşik akış yok: ai_insight_service.dart:35-43 4 risk seviyesi (eşik 10:00/14:00/kayıt=0) + functions/index.js:941 17:00 UTC push (500 KULLANICI TAVANI) + seri dondurma</t>
  </si>
  <si>
    <t xml:space="preserve">ANILMIYOR (TERS TON)</t>
  </si>
  <si>
    <t xml:space="preserve">hero-data.ts:739 — "Atladığın kayıt bir daha geri gelmeyen veridir" (suçlayıcı)</t>
  </si>
  <si>
    <t xml:space="preserve">blog/tr/yeni-baslayanlar-...md:70 — "geçmişe dönük bir ceza ya da sıfırlama yoktur"</t>
  </si>
  <si>
    <t xml:space="preserve">K5</t>
  </si>
  <si>
    <t xml:space="preserve">Marka sesi kuralı suçlayıcı olmamayı gerektiriyor; blog doğru tonda, hero ters yönde.</t>
  </si>
  <si>
    <t xml:space="preserve">Hero cümlesi blogun tonuna çekilir. 500 tavanı kaldırılana kadar "herkese gider" denmez. S17.</t>
  </si>
  <si>
    <t xml:space="preserve">X-01</t>
  </si>
  <si>
    <t xml:space="preserve">"12.400 sütun" — ölçek iddiası</t>
  </si>
  <si>
    <t xml:space="preserve">ÇAPRAZ</t>
  </si>
  <si>
    <t xml:space="preserve">src/components/hero/CookrangeHero.astro içinde grep -c .cr-column = 12 (kod yorumu :103). Ürünün gerçek kullanıcısı 0, mağazada değil</t>
  </si>
  <si>
    <t xml:space="preserve">hero-data.ts:699, :782, :853 — eyebrow "12.400 sütun · Tek zemin". Hemen altında "Üyeler, koçlar ve salonlar aynı zeminde"</t>
  </si>
  <si>
    <t xml:space="preserve">KURAL İHLALİ</t>
  </si>
  <si>
    <t xml:space="preserve">TONE-OF-VOICE.md:19 — "Uydurma sosyal kanıt: kullanıcı sayısı ... gerçek veri yoksa HİÇ kullanılmaz"</t>
  </si>
  <si>
    <t xml:space="preserve">Kaynağı yok, tanımı yok, savunması yok. Kullanıcı sayısı gibi okunuyor. Sıfır kullanıcılı üründe en riskli rakam.</t>
  </si>
  <si>
    <t xml:space="preserve">Rakam kaldırılır; eyebrow yalnızca "Tek zemin" olarak kalır.</t>
  </si>
  <si>
    <t xml:space="preserve">X-02</t>
  </si>
  <si>
    <t xml:space="preserve">JSON-LD: uydurma değerlendirme puanı</t>
  </si>
  <si>
    <t xml:space="preserve">schema.ts:6-9 — "AggregateRating/Review generators are intentionally NOT provided." aggregateRating|ratingValue|reviewCount|interactionStatistic → src/ ve public/ genelinde 0 EŞLEŞME</t>
  </si>
  <si>
    <t xml:space="preserve">ACİL RİSK HİPOTEZİ ÇÜRÜTÜLDÜ. Denetimin en önemli olumlu bulgusu.</t>
  </si>
  <si>
    <t xml:space="preserve">KORUNUR. Değişiklik yapılmaz.</t>
  </si>
  <si>
    <t xml:space="preserve">X-03</t>
  </si>
  <si>
    <t xml:space="preserve">applicationCategory: HealthApplication</t>
  </si>
  <si>
    <t xml:space="preserve">Uygulama içi mağaza paneli de "Kategori | Sağlık ve fitness" gösteriyor</t>
  </si>
  <si>
    <t xml:space="preserve">ÇELİŞKİLİ</t>
  </si>
  <si>
    <t xml:space="preserve">schema.ts:68 her sayfaya HealthApplication gömüyor ↔ ai-yemek-plani-olusturma.astro:132 "Cookrange bir tıbbi cihaz ya da SAĞLIK UYGULAMASI DEĞİLDİR"</t>
  </si>
  <si>
    <t xml:space="preserve">Makine beyanı hukuki feragatin tersi. KVKK açısından özel nitelikli veri iması.</t>
  </si>
  <si>
    <t xml:space="preserve">applicationCategory: "LifestyleApplication" olarak düzeltilir.</t>
  </si>
  <si>
    <t xml:space="preserve">X-04</t>
  </si>
  <si>
    <t xml:space="preserve">30 blog yazısı gelecek tarihli, hepsi yayında</t>
  </si>
  <si>
    <t xml:space="preserve">HATA</t>
  </si>
  <si>
    <t xml:space="preserve">15 EN + 15 TR yazı publishDate &gt; bugün, hepsi draft:false. Örn. blog/en/whats-new-in-v0-9-6-...md:7 → 2026-11-02. blog/[slug].astro:9 tarihe göre filtrelemiyor, :49 bunu datePublished olarak yayınlıyor</t>
  </si>
  <si>
    <t xml:space="preserve">Google datePublished'ın gerçek yayın tarihi olmasını şart koşuyor; gelecek tarih rich result bastırması ve spammy markup riski.</t>
  </si>
  <si>
    <t xml:space="preserve">draft: true ya da publishDate &lt;= new Date() filtresi.</t>
  </si>
  <si>
    <t xml:space="preserve">X-05</t>
  </si>
  <si>
    <t xml:space="preserve">inLanguage tr-TR tüm İngilizce yazılarda</t>
  </si>
  <si>
    <t xml:space="preserve">schema.ts:191 sabit inLanguage: "tr-TR"; en/blog/[slug].astro:40 aynı fabrikayı çağırıyor → ~15 EN yazı kendini Türkçe beyan ediyor</t>
  </si>
  <si>
    <t xml:space="preserve">Yapılandırılmış veri hatası.</t>
  </si>
  <si>
    <t xml:space="preserve">Locale'e göre tr-TR / en-US.</t>
  </si>
  <si>
    <t xml:space="preserve">X-06</t>
  </si>
  <si>
    <t xml:space="preserve">Offer: TR ₺0 / EN $0 / schema 0 USD / PreOrder</t>
  </si>
  <si>
    <t xml:space="preserve">in_app_purchase paketi var, mağaza ürünü tanımsız</t>
  </si>
  <si>
    <t xml:space="preserve">schema.ts:74-77 price:"0" priceCurrency:"USD" availability:PreOrder. constants.ts:9-10 mağaza URL'leri null → ön sipariş mekanizması yok. EN yüzeyin geri kalanı ₺ kullanıyor; $ yalnızca 1 yerde</t>
  </si>
  <si>
    <t xml:space="preserve">Para birimi çelişkisi + gerçek olmayan PreOrder.</t>
  </si>
  <si>
    <t xml:space="preserve">offers lansmana kadar kaldırılır ya da locale'e göre TRY/USD + ComingSoon.</t>
  </si>
  <si>
    <t xml:space="preserve">X-07</t>
  </si>
  <si>
    <t xml:space="preserve">Canonical host uyuşmazlığı</t>
  </si>
  <si>
    <t xml:space="preserve">constants.ts:1 + astro.config.mjs:7 → https://www.cookrangeapp.com; canlı site www'suz yanıt veriyor; vercel.json yönlendirme içermiyor</t>
  </si>
  <si>
    <t xml:space="preserve">İki host aynı @id'lerle indekslenebilir.</t>
  </si>
  <si>
    <t xml:space="preserve">vercel.json'a www yönlendirmesi eklenir.</t>
  </si>
  <si>
    <t xml:space="preserve">X-08</t>
  </si>
  <si>
    <t xml:space="preserve">llms-full.txt yanlış iddiaları LLM'lere servis ediyor</t>
  </si>
  <si>
    <t xml:space="preserve">RİSK</t>
  </si>
  <si>
    <t xml:space="preserve">llms.txt.ts:23 aşamayı DOĞRU beyan ediyor ✅; ama llms-full.txt.ts:30-36 blog ve sözlük GÖVDELERİNİ inline ediyor → TR veritabanı, 2,4 sn, altı kişilik ortak seri dahil. robots.txt.ts:28-79 18 AI tarayıcısına Allow: /</t>
  </si>
  <si>
    <t xml:space="preserve">Her uydurma rakam LLM alıntısı için optimize edilmiş durumda.</t>
  </si>
  <si>
    <t xml:space="preserve">İçerik düzeltmeleri sonrası otomatik düzelir; öncesinde AI tarayıcı izni gözden geçirilir.</t>
  </si>
  <si>
    <t xml:space="preserve">X-09</t>
  </si>
  <si>
    <t xml:space="preserve">Canlı site kaynakla birebir aynı</t>
  </si>
  <si>
    <t xml:space="preserve">cookrangeapp.com üzerinde /, /fiyatlandirma, /ozellikler, /basin-kiti, /indir çekildi → SAPMA 0. 2,4 sn · 12.400 sütun · 28/34/7 · ₺0 · iOS 14+/Android 8+ · v0.9.6 · 76,9/75,8/75,1 kg hepsi aynı</t>
  </si>
  <si>
    <t xml:space="preserve">Bu rapordaki her site bulgusu şu an CANLIDA geçerli.</t>
  </si>
  <si>
    <t xml:space="preserve">Bilgi. Ayrı aksiyon yok.</t>
  </si>
  <si>
    <t xml:space="preserve">X-10</t>
  </si>
  <si>
    <t xml:space="preserve">Rakip hakkında kanıtsız iddialar</t>
  </si>
  <si>
    <t xml:space="preserve">Cookrange'in kendi kaynağı da Open Food Facts (küresel, kullanıcı katkılı)</t>
  </si>
  <si>
    <t xml:space="preserve">comparisons/{tr,en}/cookrange-myfitnesspal-...md:23 "Salon entegrasyonu | Yok" (mutlak, tarihsiz, kaynaksız); :14 "milyonlarca kullanıcısı" (kaynaksız); :23 "Large, global, largely user-submitted"</t>
  </si>
  <si>
    <t xml:space="preserve">comparisons TR: "Türkiye'ye özel, ~2,4 saniyede sonuç"</t>
  </si>
  <si>
    <t xml:space="preserve">Karşılaştırmalı reklam ispat yükü doğurur. Ayrıca veritabanı satırı TERSİNE DÖNMÜŞ.</t>
  </si>
  <si>
    <t xml:space="preserve">Tarih + kaynak eklenir, mutlak olumsuzlar yumuşatılır, veritabanı satırı düzeltilir. Mevzuat koşulları DOĞRULANAMADI (D15).</t>
  </si>
  <si>
    <t xml:space="preserve">X-11</t>
  </si>
  <si>
    <t xml:space="preserve">B2B etkinlik vaadi: "salona gitme sıklığını artırıyor"</t>
  </si>
  <si>
    <t xml:space="preserve">Ürünün hiç kullanıcı verisi yok</t>
  </si>
  <si>
    <t xml:space="preserve">personas/tr/spor-salonlari.md:27-28 / en/gyms.md:27 — kaynaksız, koşulsuz, mevcut zaman. Blogdaki aynı iddia kaynaklı (Wing &amp; Jeffery 1999, Carron 1996), personada kaynak düşmüş</t>
  </si>
  <si>
    <t xml:space="preserve">Salona satılan iş sonucu vaadi → sözleşme riski. Sitenin en niteliksiz etkinlik iddiası en ticari sayfada.</t>
  </si>
  <si>
    <t xml:space="preserve">Kaynak eklenir + koşullu kipe çevrilir (06 numaralı dosya B3'te metin hazır).</t>
  </si>
  <si>
    <t xml:space="preserve">X-12</t>
  </si>
  <si>
    <t xml:space="preserve">yol-haritasi.astro:11 — "tamamlandı"</t>
  </si>
  <si>
    <t xml:space="preserve">PROJECT_STATE.md yüzeyin büyük kısmını "yazılmış ama doğrulanmamış" işaretliyor, 9 açık blocker sayıyor</t>
  </si>
  <si>
    <t xml:space="preserve">yol-haritasi.astro:11 + en/roadmap.astro:11 — "Beslenme planlama, barkod kaydı, salon check-in, squad'lar ve ilerleme analizi TAMAMLANDI". Aynı sayfa :52 hâlâ bunları ÖLÇÜLECEK diye sayıyor</t>
  </si>
  <si>
    <t xml:space="preserve">Beşin ÜÇÜNDE temel eksik. Yol haritası sayfası en yüksek güven yükü taşıyan yüzey.</t>
  </si>
  <si>
    <t xml:space="preserve">"Tamamlandı" ifadesi kalkar; çalışan üç sistem sayılır, ikisi "üzerinde çalışıyoruz" olur.</t>
  </si>
  <si>
    <t xml:space="preserve">X-13</t>
  </si>
  <si>
    <t xml:space="preserve">Şirket künyesi boş; iki kaynak farklı duruş alıyor</t>
  </si>
  <si>
    <t xml:space="preserve">assets/legal/kvkk_aydinlatma_tr.md:11-12 — "Burak Dereli tarafından işletilen Cookrange", eksiklik belirtilmiyor, uyarı bandı YOK. Başvuru kanalı privacy@</t>
  </si>
  <si>
    <t xml:space="preserve">EKSİK (KABUL EDİLMİŞ)</t>
  </si>
  <si>
    <t xml:space="preserve">company.ts:38-52 → 8 alan null, isComplete:false. kvkk-aydinlatma-metni.astro:74-84 6 satır "[eklenecek]". CompanyIncompleteNotice bandı basılıyor ✅. Başvuru kanalı contact@</t>
  </si>
  <si>
    <t xml:space="preserve">BİLİNEN</t>
  </si>
  <si>
    <t xml:space="preserve">LEGAL-REVIEW.md:129 — şirket bilgileri sayfası 6563 uyarınca yasal zorunluluk</t>
  </si>
  <si>
    <t xml:space="preserve">Site dürüst, uygulama eksiksizmiş gibi sunuyor. Veri sorumlusu kimliği KVKK aydınlatmasının zorunlu unsuru. LANSMAN ENGELLEYİCİ.</t>
  </si>
  <si>
    <t xml:space="preserve">Tescil tamamlanır; uygulama metnine de aynı eksiklik bandı eklenir; başvuru kanalı tekilleştirilir. Mevzuat DOĞRULANAMADI (D15).</t>
  </si>
  <si>
    <t xml:space="preserve">X-14</t>
  </si>
  <si>
    <t xml:space="preserve">Saklama süreleri hiçbir kaynakta yok</t>
  </si>
  <si>
    <t xml:space="preserve">kvkk_aydinlatma_tr.md — saklama süresi BÖLÜMÜ BİLE YOK. Tek rakam privacy_policy_tr.md:68-70 "30 gün" ve o da hesap silme bulgusuyla çelişiyor</t>
  </si>
  <si>
    <t xml:space="preserve">EKSİK</t>
  </si>
  <si>
    <t xml:space="preserve">kvkk-aydinlatma-metni.astro:155-163 + gizlilik-politikasi.astro:162-167 — "eklenecektir"; faq/en/account-deletion.md "will be published"</t>
  </si>
  <si>
    <t xml:space="preserve">LEGAL-REVIEW.md:34-35 — yayın öncesi madde</t>
  </si>
  <si>
    <t xml:space="preserve">Üç kaynağın hiçbirinde süre yok.</t>
  </si>
  <si>
    <t xml:space="preserve">Saklama süresi tablosu yazılır (06 numaralı dosya C9'da şablon hazır). Tebliğ zorunluluğu DOĞRULANAMADI (D15).</t>
  </si>
  <si>
    <t xml:space="preserve">X-15</t>
  </si>
  <si>
    <t xml:space="preserve">Marka sesi ihlalleri (birinci çoğul şahıs)</t>
  </si>
  <si>
    <t xml:space="preserve">İHLAL</t>
  </si>
  <si>
    <t xml:space="preserve">ekip.astro:33 "tercih ediyoruz", :57 "planlıyoruz"; yol-haritasi.astro:32 "Nereden nereye gidiyoruz", :50; blog/tr/arkadas-grubuyla-...md:5 "anlatıyoruz"</t>
  </si>
  <si>
    <t xml:space="preserve">KURAL</t>
  </si>
  <si>
    <t xml:space="preserve">TONE-OF-VOICE.md:17-18 — "Biz size X sunuyoruz" yasak. Ayrıca hitap tutarsızlığı: spor-salonlari.md:32 "ulaşabilirsiniz" ↔ kocular.md:31 "ulaşabilirsin"</t>
  </si>
  <si>
    <t xml:space="preserve">Kural yazılı, 5 yerde ihlal ediliyor.</t>
  </si>
  <si>
    <t xml:space="preserve">Üçüncü şahıs betimleyici dile çevrilir. B2B personalarda her yerde "siz".</t>
  </si>
  <si>
    <t xml:space="preserve">X-16</t>
  </si>
  <si>
    <t xml:space="preserve">Test Modu son kullanıcıya açık, sahte veri gösteriyor</t>
  </si>
  <si>
    <t xml:space="preserve">settings_screen.dart:1191-1213 — "Developer / Test Modu" anahtarı kDebugMode VE isAdmin korumasından yoksun. Açıldığında salon keşfi, koç keşfi, liderlik tablosu, öğün planı, alışveriş listesi, yemek günlüğü ve yemek veritabanı TestDataLibrary sahte verisi döndürüyor</t>
  </si>
  <si>
    <t xml:space="preserve">Salon pilotunda bir üye bunu açarsa gerçek gibi görünen uydurma veri görür. Ayrıca program pazaryerindeki tek içerik 3 demo program (app_initialization_service.dart:335).</t>
  </si>
  <si>
    <t xml:space="preserve">N2 kapsamında kDebugMode + isAdmin arkasına alınır. 3 demo program üretimden çıkarılır.</t>
  </si>
  <si>
    <t xml:space="preserve">X-17</t>
  </si>
  <si>
    <t xml:space="preserve">Kullanıcı kök dokümanı herkese açık ve PII taşıyor</t>
  </si>
  <si>
    <t xml:space="preserve">firestore.rules:113-115 → allow read: if isAuthenticated() (yorum: "Users can read any profile"). Kök dokümanda: email (firestore_service.dart:134, :277, :309), login_ips (:142, :628 arrayUnion), fcm_token (push_notification_service.dart:408), login_devices, login_device_os, timezone, device_locale, target_weight + main_goal (onboarding_provider.dart:221; kod yorumu :210 bunları "Non-PII" sayıyor). Karşılaştırma: _toPrivateMap() :232-251 yalnızca personal_info, disliked_foods, allergies, dietary_restrictions alanlarını private/nutrition altına gönderiyor</t>
  </si>
  <si>
    <t xml:space="preserve">guvenlik.astro:17-19 — "veri erişiminin gerçek hayattaki ilişkilere göre sınırlanması", "kimse bir başkasının vücut verisine erişemez"</t>
  </si>
  <si>
    <t xml:space="preserve">assets/legal/kvkk_aydinlatma_tr.md:21-22 — işlenen veriler listesinde IP adresi HİÇ SAYILMIYOR</t>
  </si>
  <si>
    <t xml:space="preserve">Ekibin kendi kararına aykırı: CLAUDE.md §5.5 (ADR-009) hedef kilonun kök dokümanda tutulmasını YASAKLIYOR. Doğrulama turunda ana tabloda satırı olmadığı görülüp eklendi.</t>
  </si>
  <si>
    <t xml:space="preserve">Alanlar owner-only alt dokümana taşınır, firestore.rules:115 daraltılır. Efor S. YOL HARİTASI ŞİMDİ KOVASI N1 — ilk salon pilotunun engelleyicisi.</t>
  </si>
  <si>
    <t xml:space="preserve">EK-01</t>
  </si>
  <si>
    <t xml:space="preserve">Haftalık yapay zekâ özeti (weekly recap)</t>
  </si>
  <si>
    <t xml:space="preserve">EK BULGU</t>
  </si>
  <si>
    <t xml:space="preserve">weekly_recap_screen.dart + ai.weekly_recap_* 18 localization anahtarı</t>
  </si>
  <si>
    <t xml:space="preserve">Çalışan özellik sitede yok.</t>
  </si>
  <si>
    <t xml:space="preserve">Özellik sayfasına eklenmesi değerlendirilir.</t>
  </si>
  <si>
    <t xml:space="preserve">EK-02</t>
  </si>
  <si>
    <t xml:space="preserve">Sesli asistan</t>
  </si>
  <si>
    <t xml:space="preserve">voice_assistant_overlay.dart + speech_to_text paketi. UYARI: feature_voice_assistant bayrağı varsayılan false ama OKUNMADIĞI için özellik açık</t>
  </si>
  <si>
    <t xml:space="preserve">Farklılaştırıcı özellik sitede yok.</t>
  </si>
  <si>
    <t xml:space="preserve">Madde 18 ile birlikte siteye eklenir.</t>
  </si>
  <si>
    <t xml:space="preserve">EK-03</t>
  </si>
  <si>
    <t xml:space="preserve">Pişirme modu</t>
  </si>
  <si>
    <t xml:space="preserve">cooking_mode_screen.dart + wakelock</t>
  </si>
  <si>
    <t xml:space="preserve">Marka anlatısına uygun ("gerçekten pişirebileceğin şeyler") ama sitede yok.</t>
  </si>
  <si>
    <t xml:space="preserve">Siteye eklenmesi değerlendirilir.</t>
  </si>
  <si>
    <t xml:space="preserve">EK-04</t>
  </si>
  <si>
    <t xml:space="preserve">Plan geçmişi ve geri yükleme</t>
  </si>
  <si>
    <t xml:space="preserve">meal_plan_history_screen.dart; plan karşılaştırma meal_compare.* 11 anahtar</t>
  </si>
  <si>
    <t xml:space="preserve">"Hiçbir ay silinmiyor" anlatısını destekleyen gerçek özellik.</t>
  </si>
  <si>
    <t xml:space="preserve">EK-05</t>
  </si>
  <si>
    <t xml:space="preserve">Hidrasyon takibi ve su hatırlatıcı</t>
  </si>
  <si>
    <t xml:space="preserve">water_reminder.* 8 anahtar, birim testi var. UYARI: su verisi de yalnızca cihazda (Hive)</t>
  </si>
  <si>
    <t xml:space="preserve">hero anlatısında "2,1 litre su" geçiyor, özellik olarak anlatılmıyor</t>
  </si>
  <si>
    <t xml:space="preserve">Hero'da veri olarak var, özellik olarak yok.</t>
  </si>
  <si>
    <t xml:space="preserve">Siteye eklenir. Kalıcılık sorunu S3 kapsamına alınır.</t>
  </si>
  <si>
    <t xml:space="preserve">EK-06</t>
  </si>
  <si>
    <t xml:space="preserve">Birebir ve grup sohbeti</t>
  </si>
  <si>
    <t xml:space="preserve">chat.* 23 localization anahtarı</t>
  </si>
  <si>
    <t xml:space="preserve">Topluluk katmanının parçası, sitede yok.</t>
  </si>
  <si>
    <t xml:space="preserve">Madde 34 "Akış" bölümüne eklenir.</t>
  </si>
  <si>
    <t xml:space="preserve">EK-07</t>
  </si>
  <si>
    <t xml:space="preserve">"Signal" dürtme</t>
  </si>
  <si>
    <t xml:space="preserve">signal.* 10 localization anahtarı</t>
  </si>
  <si>
    <t xml:space="preserve">Hesap verebilirlik mekanizmasının somut aracı, sitede yok.</t>
  </si>
  <si>
    <t xml:space="preserve">Madde 34 ile birlikte anlatılır.</t>
  </si>
  <si>
    <t xml:space="preserve">EK-08</t>
  </si>
  <si>
    <t xml:space="preserve">Başarım rozetleri (15)</t>
  </si>
  <si>
    <t xml:space="preserve">achievements.* 15 localization anahtarı; seri taşları 7/14/30/60/100/365; seri dondurma jetonu 1</t>
  </si>
  <si>
    <t xml:space="preserve">Seri anlatılıyor, rozet sistemi anlatılmıyor</t>
  </si>
  <si>
    <t xml:space="preserve">Oyunlaştırma katmanı eksik anlatılıyor.</t>
  </si>
  <si>
    <t xml:space="preserve">EK-09</t>
  </si>
  <si>
    <t xml:space="preserve">Onboarding v2 — 14 sayfa</t>
  </si>
  <si>
    <t xml:space="preserve">lib/screens/onboarding/ — 14 sayfa; onboarding_provider.dart:210-251 (public onboarding_data + private/nutrition ayrımı); BMI + kalori + makro + hedef tarihi raporuyla bitiyor</t>
  </si>
  <si>
    <t xml:space="preserve">nasil-calisir.astro "yedi adım" / "beş adım" diyor — 14 sayfalık akışla eşleşmiyor</t>
  </si>
  <si>
    <t xml:space="preserve">Adım sayısı uyuşmazlığı.</t>
  </si>
  <si>
    <t xml:space="preserve">Site adım sayısı gerçek akışa göre düzeltilir ya da sayı verilmez.</t>
  </si>
  <si>
    <t xml:space="preserve">EK-10</t>
  </si>
  <si>
    <t xml:space="preserve">Rıza merkezi + DSAR + veri ihracı (24 kaynak)</t>
  </si>
  <si>
    <t xml:space="preserve">privacy_request.* 15 anahtar + admin iş akışı; data_export_service.dart:42-68 24 kaynak, export_version 2.0; functions/account.js:48 sunucu tarafı hesap silme</t>
  </si>
  <si>
    <t xml:space="preserve">YANLIŞ ANLATILIYOR</t>
  </si>
  <si>
    <t xml:space="preserve">faq/tr/veri-disa-aktarma.md — "uygulama içinde tek tuşla bir indirme düğmesi yok" (YANLIŞ)</t>
  </si>
  <si>
    <t xml:space="preserve">Site var olan bir hakkı yok diyerek kullanıcıyı gereksiz e-posta başvurusuna yönlendiriyor.</t>
  </si>
  <si>
    <t xml:space="preserve">SSS düzeltilir: "Ayarlar → Verilerini Dışa Aktar". Bkz. 06 numaralı dosya C11.</t>
  </si>
  <si>
    <t xml:space="preserve">EK-11</t>
  </si>
  <si>
    <t xml:space="preserve">Salon başvuru hattı (2 belge + 6 haneli OTP + 2-5 iş günü SLA)</t>
  </si>
  <si>
    <t xml:space="preserve">gym.docs_count (2 zorunlu belge), gym.phone_otp_hint (6 haneli OTP), gym.app_pending_step2 (2-5 iş günü SLA); gym_applications + coach_applications koleksiyonları</t>
  </si>
  <si>
    <t xml:space="preserve">Salon pilotu için satış hunisi hazır ama sitede yok.</t>
  </si>
  <si>
    <t xml:space="preserve">Salon sayfasına eklenir — B2B dönüşüm için değerli.</t>
  </si>
  <si>
    <t xml:space="preserve">EK-12</t>
  </si>
  <si>
    <t xml:space="preserve">Referans ve komisyon kazancı (₺5/kişi)</t>
  </si>
  <si>
    <t xml:space="preserve">functions/economy.js:21 — kişi/koç referansı ₺5</t>
  </si>
  <si>
    <t xml:space="preserve">faq/tr/referans-linki.md — "ne kadar çok kişi davet edersen o kadar erken beta erişimi" (mekanizma tanımsız)</t>
  </si>
  <si>
    <t xml:space="preserve">Site sıra hızlandırmadan bahsediyor, kodda para ödülü var — iki farklı mekanizma.</t>
  </si>
  <si>
    <t xml:space="preserve">SSS'de mekanizma netleştirilir ya da iddia kaldırılır.</t>
  </si>
  <si>
    <t xml:space="preserve">EK-13</t>
  </si>
  <si>
    <t xml:space="preserve">Admin paneli (11 ekran, admin.* 324 anahtar)</t>
  </si>
  <si>
    <t xml:space="preserve">lib/screens/admin/ — 11 ekran, admin.* 324 localization anahtarı; AI maliyet panosu functions/index.js:83-120 recordUsage → ai_usage_logs</t>
  </si>
  <si>
    <t xml:space="preserve">İç araç, sitede anlatılması gerekmiyor.</t>
  </si>
  <si>
    <t xml:space="preserve">EK-14</t>
  </si>
  <si>
    <t xml:space="preserve">Bakım modu / zorunlu güncelleme / hesap askıya alma</t>
  </si>
  <si>
    <t xml:space="preserve">lib/core/utils/route_guard.dart:125 — çalışan TEK kill-switch (bakım modu); account_suspended.* 14 localization anahtarı; zorunlu güncelleme aynı guard içinde</t>
  </si>
  <si>
    <t xml:space="preserve">Altyapı. N2 için referans desen: çalışan kill-switch örneği bu.</t>
  </si>
  <si>
    <t xml:space="preserve">COOKRANGE DENETİMİ — ÖZET</t>
  </si>
  <si>
    <t xml:space="preserve">Kaynak: 'Özellik envanteri' sekmesi. Tüm sayılar formülle hesaplanır.</t>
  </si>
  <si>
    <t xml:space="preserve">Adet</t>
  </si>
  <si>
    <t xml:space="preserve">Anlamı</t>
  </si>
  <si>
    <t xml:space="preserve">Site iddia ediyor, uygulama yapmıyor — yanıltıcı beyan riski</t>
  </si>
  <si>
    <t xml:space="preserve">Uygulama içi metin gerçeği aşıyor (site daha dürüst)</t>
  </si>
  <si>
    <t xml:space="preserve">Uygulama yapıyor, site anmıyor — kaybedilen değer</t>
  </si>
  <si>
    <t xml:space="preserve">Aynı özellik, farklı isim — marka tutarsızlığı</t>
  </si>
  <si>
    <t xml:space="preserve">Aynı özellik, farklı rakam — güvenilirlik riski</t>
  </si>
  <si>
    <t xml:space="preserve">Kapsam uyuşmazlığı — ücretsiz/Premium, izinli/izinsiz</t>
  </si>
  <si>
    <t xml:space="preserve">Üç kaynak uyumlu</t>
  </si>
  <si>
    <t xml:space="preserve">Madde 60, madde 28 ile birleştirildi</t>
  </si>
  <si>
    <t xml:space="preserve">TOPLAM SATIR</t>
  </si>
  <si>
    <t xml:space="preserve">Çakışma toplamı (TEMİZ ve BİRLEŞTİ hariç)</t>
  </si>
  <si>
    <t xml:space="preserve">Satır</t>
  </si>
  <si>
    <t xml:space="preserve">TİP A adedi</t>
  </si>
  <si>
    <t xml:space="preserve">COOKRANGE ÜÇ KAYNAKLI DOĞRULUK DENETİMİ</t>
  </si>
  <si>
    <t xml:space="preserve">4 Ağustos 2026</t>
  </si>
  <si>
    <t xml:space="preserve">RENK KODU</t>
  </si>
  <si>
    <t xml:space="preserve">Kırmızı  = TİP A ve TİP A-TERS — yanıltıcı beyan riski, en yüksek öncelik</t>
  </si>
  <si>
    <t xml:space="preserve">Sarı     = TİP B / C / D / E — kaybedilen değer, isim, rakam, kapsam uyuşmazlığı</t>
  </si>
  <si>
    <t xml:space="preserve">Yeşil    = TEMİZ — üç kaynak uyumlu</t>
  </si>
  <si>
    <t xml:space="preserve">Gri      = birleştirilmiş madde</t>
  </si>
  <si>
    <t xml:space="preserve">FİLTRELEME</t>
  </si>
  <si>
    <t xml:space="preserve">Başlık satırındaki oklardan filtrele. En sık kullanım: 'Çakışma tipi' = TİP A, ya da 'Öncelik' = ACİL.</t>
  </si>
  <si>
    <t xml:space="preserve">DURUM ETİKETLERİ (uygulama)</t>
  </si>
  <si>
    <t xml:space="preserve">TAM VAR · KISMEN VAR · SADECE ARAYÜZ VAR (UI var, arka uç yok) · YOK · DOĞRULANAMADI</t>
  </si>
  <si>
    <t xml:space="preserve">'ÖZELLİK BAYRAĞI KAPALI' etiketi kullanılmadı: mekanizma var ama hiçbir yerden çağrılmıyor.</t>
  </si>
  <si>
    <t xml:space="preserve">isFeatureEnabled ve isInRollout için 0 tüketici bulundu. Ayrıntı: 07-VARSAYIMLAR.md V10.</t>
  </si>
  <si>
    <t xml:space="preserve">'—' = bu satırda ilgili değil (çapraz bulgularda kaynak kolonları boş kalabilir).</t>
  </si>
  <si>
    <t xml:space="preserve">X- satırları özellik değil bulgu olduğu için durum kolonunda betimleyici ifade taşır (ör. RİSK).</t>
  </si>
  <si>
    <t xml:space="preserve">DOĞRULANAMADI iddia düzeyinde kullanılır ve 07-VARSAYIMLAR.md Bölüm B'de 16 madde olarak listelenir;</t>
  </si>
  <si>
    <t xml:space="preserve">özellik düzeyinde her maddenin varlığı/yokluğu kanıtla belirlenebildi.</t>
  </si>
  <si>
    <t xml:space="preserve">KARAR KURALLARI</t>
  </si>
  <si>
    <t xml:space="preserve">K1  Ürün gerçeği kazanır — uygulama ne yapıyorsa doğru odur</t>
  </si>
  <si>
    <t xml:space="preserve">K2  Kapsam uygulamadan, ifade siteden</t>
  </si>
  <si>
    <t xml:space="preserve">K3  Somut soyutu yener</t>
  </si>
  <si>
    <t xml:space="preserve">K4  Kullanıcının dili ürün içi jargonu yener</t>
  </si>
  <si>
    <t xml:space="preserve">K5  Marka sesine uyan kazanır</t>
  </si>
  <si>
    <t xml:space="preserve">K6  İkisi de zayıfsa YENİ ÖNERİ olarak işaretlenir</t>
  </si>
  <si>
    <t xml:space="preserve">K7  Uygulanmayan iddia kaldırılır, özellik yol haritasına alınır — 'yakında' ile çözülmez</t>
  </si>
  <si>
    <t xml:space="preserve">KANIT</t>
  </si>
  <si>
    <t xml:space="preserve">Her hüküm dosya yolu ve satır numarası ile bağlanmıştır.</t>
  </si>
  <si>
    <t xml:space="preserve">Bilinmeyen rakamlar için 03-SOZLUK.md içinde XX kullanılır; bu tabloda bilinmeyen değerler</t>
  </si>
  <si>
    <t xml:space="preserve">'DOĞRULANAMAZ' / '—' ile ve 07-VARSAYIMLAR.md'ye atıfla gösterilir.</t>
  </si>
  <si>
    <t xml:space="preserve">Bulgular 4 Ağustos 2026'da bağımsız bir çürütme turundan geçti; düzeltilen 7 iddia</t>
  </si>
  <si>
    <t xml:space="preserve">07-VARSAYIMLAR.md Bölüm E'de listelenmiştir.</t>
  </si>
  <si>
    <t xml:space="preserve">DİĞER DOSYALAR</t>
  </si>
  <si>
    <t xml:space="preserve">00-YONETICI-OZETI.md · 02-CAKISMA-RAPORU.md · 03-SOZLUK.md · 04-URUN-YOL-HARITASI.md</t>
  </si>
  <si>
    <t xml:space="preserve">05-SITE-DUZELTME-LISTESI.md · 06-RISK-RAPORU.md · 07-VARSAYIMLAR.md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</si>
</sst>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EB9C"/>
        <bgColor rgb="FFEDEDED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EB9C"/>
      </patternFill>
    </fill>
    <fill>
      <patternFill patternType="solid">
        <fgColor rgb="FFEDEDED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7"/>
    <col collapsed="false" customWidth="true" hidden="false" outlineLevel="0" max="5" min="5" style="0" width="52"/>
    <col collapsed="false" customWidth="true" hidden="false" outlineLevel="0" max="6" min="6" style="0" width="17"/>
    <col collapsed="false" customWidth="true" hidden="false" outlineLevel="0" max="7" min="7" style="0" width="52"/>
    <col collapsed="false" customWidth="true" hidden="false" outlineLevel="0" max="8" min="8" style="0" width="17"/>
    <col collapsed="false" customWidth="true" hidden="false" outlineLevel="0" max="9" min="9" style="0" width="44"/>
    <col collapsed="false" customWidth="true" hidden="false" outlineLevel="0" max="11" min="10" style="0" width="12"/>
    <col collapsed="false" customWidth="true" hidden="false" outlineLevel="0" max="12" min="12" style="0" width="52"/>
    <col collapsed="false" customWidth="true" hidden="false" outlineLevel="0" max="13" min="13" style="0" width="48"/>
    <col collapsed="false" customWidth="true" hidden="false" outlineLevel="0" max="14" min="14" style="0" width="10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91.5" hidden="false" customHeight="true" outlineLevel="0" collapsed="false">
      <c r="A2" s="2" t="s">
        <v>14</v>
      </c>
      <c r="B2" s="3" t="s">
        <v>15</v>
      </c>
      <c r="C2" s="3" t="s">
        <v>16</v>
      </c>
      <c r="D2" s="4" t="s">
        <v>17</v>
      </c>
      <c r="E2" s="3" t="s">
        <v>18</v>
      </c>
      <c r="F2" s="4" t="s">
        <v>19</v>
      </c>
      <c r="G2" s="3" t="s">
        <v>20</v>
      </c>
      <c r="H2" s="4" t="s">
        <v>21</v>
      </c>
      <c r="I2" s="3" t="s">
        <v>22</v>
      </c>
      <c r="J2" s="5" t="s">
        <v>23</v>
      </c>
      <c r="K2" s="4" t="s">
        <v>24</v>
      </c>
      <c r="L2" s="3" t="s">
        <v>25</v>
      </c>
      <c r="M2" s="3" t="s">
        <v>26</v>
      </c>
      <c r="N2" s="5" t="s">
        <v>27</v>
      </c>
    </row>
    <row r="3" customFormat="false" ht="91.5" hidden="false" customHeight="true" outlineLevel="0" collapsed="false">
      <c r="A3" s="6" t="s">
        <v>28</v>
      </c>
      <c r="B3" s="3" t="s">
        <v>29</v>
      </c>
      <c r="C3" s="3" t="s">
        <v>16</v>
      </c>
      <c r="D3" s="7" t="s">
        <v>30</v>
      </c>
      <c r="E3" s="3" t="s">
        <v>31</v>
      </c>
      <c r="F3" s="7" t="s">
        <v>19</v>
      </c>
      <c r="G3" s="3" t="s">
        <v>32</v>
      </c>
      <c r="H3" s="7" t="s">
        <v>21</v>
      </c>
      <c r="I3" s="3" t="s">
        <v>33</v>
      </c>
      <c r="J3" s="8" t="s">
        <v>34</v>
      </c>
      <c r="K3" s="7" t="s">
        <v>35</v>
      </c>
      <c r="L3" s="3" t="s">
        <v>36</v>
      </c>
      <c r="M3" s="3" t="s">
        <v>37</v>
      </c>
      <c r="N3" s="8" t="s">
        <v>38</v>
      </c>
    </row>
    <row r="4" customFormat="false" ht="91.5" hidden="false" customHeight="true" outlineLevel="0" collapsed="false">
      <c r="A4" s="6" t="s">
        <v>39</v>
      </c>
      <c r="B4" s="3" t="s">
        <v>40</v>
      </c>
      <c r="C4" s="3" t="s">
        <v>16</v>
      </c>
      <c r="D4" s="7" t="s">
        <v>30</v>
      </c>
      <c r="E4" s="3" t="s">
        <v>41</v>
      </c>
      <c r="F4" s="7" t="s">
        <v>19</v>
      </c>
      <c r="G4" s="3" t="s">
        <v>42</v>
      </c>
      <c r="H4" s="7" t="s">
        <v>21</v>
      </c>
      <c r="I4" s="3" t="s">
        <v>43</v>
      </c>
      <c r="J4" s="8" t="s">
        <v>34</v>
      </c>
      <c r="K4" s="7" t="s">
        <v>44</v>
      </c>
      <c r="L4" s="3" t="s">
        <v>45</v>
      </c>
      <c r="M4" s="3" t="s">
        <v>46</v>
      </c>
      <c r="N4" s="8" t="s">
        <v>38</v>
      </c>
    </row>
    <row r="5" customFormat="false" ht="91.5" hidden="false" customHeight="true" outlineLevel="0" collapsed="false">
      <c r="A5" s="6" t="s">
        <v>47</v>
      </c>
      <c r="B5" s="3" t="s">
        <v>48</v>
      </c>
      <c r="C5" s="3" t="s">
        <v>16</v>
      </c>
      <c r="D5" s="7" t="s">
        <v>30</v>
      </c>
      <c r="E5" s="3" t="s">
        <v>49</v>
      </c>
      <c r="F5" s="7" t="s">
        <v>19</v>
      </c>
      <c r="G5" s="3" t="s">
        <v>50</v>
      </c>
      <c r="H5" s="7" t="s">
        <v>21</v>
      </c>
      <c r="I5" s="3" t="s">
        <v>51</v>
      </c>
      <c r="J5" s="8" t="s">
        <v>34</v>
      </c>
      <c r="K5" s="7" t="s">
        <v>35</v>
      </c>
      <c r="L5" s="3" t="s">
        <v>52</v>
      </c>
      <c r="M5" s="3" t="s">
        <v>53</v>
      </c>
      <c r="N5" s="8" t="s">
        <v>38</v>
      </c>
    </row>
    <row r="6" customFormat="false" ht="91.5" hidden="false" customHeight="true" outlineLevel="0" collapsed="false">
      <c r="A6" s="9" t="s">
        <v>54</v>
      </c>
      <c r="B6" s="3" t="s">
        <v>55</v>
      </c>
      <c r="C6" s="3" t="s">
        <v>16</v>
      </c>
      <c r="D6" s="10" t="s">
        <v>56</v>
      </c>
      <c r="E6" s="3" t="s">
        <v>57</v>
      </c>
      <c r="F6" s="10" t="s">
        <v>19</v>
      </c>
      <c r="G6" s="3" t="s">
        <v>58</v>
      </c>
      <c r="H6" s="10" t="s">
        <v>59</v>
      </c>
      <c r="I6" s="3" t="s">
        <v>60</v>
      </c>
      <c r="J6" s="11" t="s">
        <v>61</v>
      </c>
      <c r="K6" s="10" t="s">
        <v>62</v>
      </c>
      <c r="L6" s="3" t="s">
        <v>63</v>
      </c>
      <c r="M6" s="3" t="s">
        <v>64</v>
      </c>
      <c r="N6" s="11" t="s">
        <v>65</v>
      </c>
    </row>
    <row r="7" customFormat="false" ht="91.5" hidden="false" customHeight="true" outlineLevel="0" collapsed="false">
      <c r="A7" s="2" t="s">
        <v>66</v>
      </c>
      <c r="B7" s="3" t="s">
        <v>67</v>
      </c>
      <c r="C7" s="3" t="s">
        <v>16</v>
      </c>
      <c r="D7" s="4" t="s">
        <v>30</v>
      </c>
      <c r="E7" s="3" t="s">
        <v>68</v>
      </c>
      <c r="F7" s="4" t="s">
        <v>69</v>
      </c>
      <c r="G7" s="3" t="s">
        <v>70</v>
      </c>
      <c r="H7" s="4" t="s">
        <v>71</v>
      </c>
      <c r="I7" s="3" t="s">
        <v>72</v>
      </c>
      <c r="J7" s="5" t="s">
        <v>73</v>
      </c>
      <c r="K7" s="4" t="s">
        <v>35</v>
      </c>
      <c r="L7" s="3" t="s">
        <v>74</v>
      </c>
      <c r="M7" s="3" t="s">
        <v>75</v>
      </c>
      <c r="N7" s="5" t="s">
        <v>38</v>
      </c>
    </row>
    <row r="8" customFormat="false" ht="91.5" hidden="false" customHeight="true" outlineLevel="0" collapsed="false">
      <c r="A8" s="9" t="s">
        <v>76</v>
      </c>
      <c r="B8" s="3" t="s">
        <v>77</v>
      </c>
      <c r="C8" s="3" t="s">
        <v>16</v>
      </c>
      <c r="D8" s="10" t="s">
        <v>56</v>
      </c>
      <c r="E8" s="3" t="s">
        <v>78</v>
      </c>
      <c r="F8" s="10" t="s">
        <v>19</v>
      </c>
      <c r="G8" s="3" t="s">
        <v>79</v>
      </c>
      <c r="H8" s="10" t="s">
        <v>71</v>
      </c>
      <c r="I8" s="3" t="s">
        <v>80</v>
      </c>
      <c r="J8" s="11" t="s">
        <v>61</v>
      </c>
      <c r="K8" s="10" t="s">
        <v>62</v>
      </c>
      <c r="L8" s="3" t="s">
        <v>81</v>
      </c>
      <c r="M8" s="3" t="s">
        <v>82</v>
      </c>
      <c r="N8" s="11" t="s">
        <v>65</v>
      </c>
    </row>
    <row r="9" customFormat="false" ht="91.5" hidden="false" customHeight="true" outlineLevel="0" collapsed="false">
      <c r="A9" s="9" t="s">
        <v>83</v>
      </c>
      <c r="B9" s="3" t="s">
        <v>84</v>
      </c>
      <c r="C9" s="3" t="s">
        <v>16</v>
      </c>
      <c r="D9" s="10" t="s">
        <v>85</v>
      </c>
      <c r="E9" s="3" t="s">
        <v>86</v>
      </c>
      <c r="F9" s="10" t="s">
        <v>19</v>
      </c>
      <c r="G9" s="3" t="s">
        <v>87</v>
      </c>
      <c r="H9" s="10" t="s">
        <v>21</v>
      </c>
      <c r="I9" s="3" t="s">
        <v>88</v>
      </c>
      <c r="J9" s="11" t="s">
        <v>61</v>
      </c>
      <c r="K9" s="10" t="s">
        <v>89</v>
      </c>
      <c r="L9" s="3" t="s">
        <v>90</v>
      </c>
      <c r="M9" s="3" t="s">
        <v>91</v>
      </c>
      <c r="N9" s="11" t="s">
        <v>65</v>
      </c>
    </row>
    <row r="10" customFormat="false" ht="91.5" hidden="false" customHeight="true" outlineLevel="0" collapsed="false">
      <c r="A10" s="9" t="s">
        <v>92</v>
      </c>
      <c r="B10" s="3" t="s">
        <v>93</v>
      </c>
      <c r="C10" s="3" t="s">
        <v>16</v>
      </c>
      <c r="D10" s="10" t="s">
        <v>17</v>
      </c>
      <c r="E10" s="3" t="s">
        <v>94</v>
      </c>
      <c r="F10" s="10" t="s">
        <v>19</v>
      </c>
      <c r="G10" s="3" t="s">
        <v>95</v>
      </c>
      <c r="H10" s="10" t="s">
        <v>59</v>
      </c>
      <c r="I10" s="3" t="s">
        <v>96</v>
      </c>
      <c r="J10" s="11" t="s">
        <v>61</v>
      </c>
      <c r="K10" s="10" t="s">
        <v>97</v>
      </c>
      <c r="L10" s="3" t="s">
        <v>98</v>
      </c>
      <c r="M10" s="3" t="s">
        <v>99</v>
      </c>
      <c r="N10" s="11" t="s">
        <v>65</v>
      </c>
    </row>
    <row r="11" customFormat="false" ht="91.5" hidden="false" customHeight="true" outlineLevel="0" collapsed="false">
      <c r="A11" s="6" t="s">
        <v>100</v>
      </c>
      <c r="B11" s="3" t="s">
        <v>101</v>
      </c>
      <c r="C11" s="3" t="s">
        <v>16</v>
      </c>
      <c r="D11" s="7" t="s">
        <v>17</v>
      </c>
      <c r="E11" s="3" t="s">
        <v>102</v>
      </c>
      <c r="F11" s="7" t="s">
        <v>103</v>
      </c>
      <c r="G11" s="3" t="s">
        <v>104</v>
      </c>
      <c r="H11" s="7" t="s">
        <v>103</v>
      </c>
      <c r="I11" s="3" t="s">
        <v>44</v>
      </c>
      <c r="J11" s="8" t="s">
        <v>34</v>
      </c>
      <c r="K11" s="7" t="s">
        <v>44</v>
      </c>
      <c r="L11" s="3" t="s">
        <v>105</v>
      </c>
      <c r="M11" s="3" t="s">
        <v>106</v>
      </c>
      <c r="N11" s="8" t="s">
        <v>107</v>
      </c>
    </row>
    <row r="12" customFormat="false" ht="91.5" hidden="false" customHeight="true" outlineLevel="0" collapsed="false">
      <c r="A12" s="9" t="s">
        <v>108</v>
      </c>
      <c r="B12" s="3" t="s">
        <v>109</v>
      </c>
      <c r="C12" s="3" t="s">
        <v>16</v>
      </c>
      <c r="D12" s="10" t="s">
        <v>56</v>
      </c>
      <c r="E12" s="3" t="s">
        <v>110</v>
      </c>
      <c r="F12" s="10" t="s">
        <v>111</v>
      </c>
      <c r="G12" s="3" t="s">
        <v>112</v>
      </c>
      <c r="H12" s="10" t="s">
        <v>113</v>
      </c>
      <c r="I12" s="3" t="s">
        <v>114</v>
      </c>
      <c r="J12" s="11" t="s">
        <v>61</v>
      </c>
      <c r="K12" s="10" t="s">
        <v>89</v>
      </c>
      <c r="L12" s="3" t="s">
        <v>115</v>
      </c>
      <c r="M12" s="3" t="s">
        <v>116</v>
      </c>
      <c r="N12" s="11" t="s">
        <v>65</v>
      </c>
    </row>
    <row r="13" customFormat="false" ht="91.5" hidden="false" customHeight="true" outlineLevel="0" collapsed="false">
      <c r="A13" s="9" t="s">
        <v>117</v>
      </c>
      <c r="B13" s="3" t="s">
        <v>118</v>
      </c>
      <c r="C13" s="3" t="s">
        <v>16</v>
      </c>
      <c r="D13" s="10" t="s">
        <v>56</v>
      </c>
      <c r="E13" s="3" t="s">
        <v>119</v>
      </c>
      <c r="F13" s="10" t="s">
        <v>19</v>
      </c>
      <c r="G13" s="3" t="s">
        <v>120</v>
      </c>
      <c r="H13" s="10" t="s">
        <v>21</v>
      </c>
      <c r="I13" s="3" t="s">
        <v>121</v>
      </c>
      <c r="J13" s="11" t="s">
        <v>61</v>
      </c>
      <c r="K13" s="10" t="s">
        <v>24</v>
      </c>
      <c r="L13" s="3" t="s">
        <v>122</v>
      </c>
      <c r="M13" s="3" t="s">
        <v>123</v>
      </c>
      <c r="N13" s="11" t="s">
        <v>27</v>
      </c>
    </row>
    <row r="14" customFormat="false" ht="91.5" hidden="false" customHeight="true" outlineLevel="0" collapsed="false">
      <c r="A14" s="6" t="s">
        <v>124</v>
      </c>
      <c r="B14" s="3" t="s">
        <v>125</v>
      </c>
      <c r="C14" s="3" t="s">
        <v>126</v>
      </c>
      <c r="D14" s="7" t="s">
        <v>30</v>
      </c>
      <c r="E14" s="3" t="s">
        <v>127</v>
      </c>
      <c r="F14" s="7" t="s">
        <v>19</v>
      </c>
      <c r="G14" s="3" t="s">
        <v>128</v>
      </c>
      <c r="H14" s="7" t="s">
        <v>21</v>
      </c>
      <c r="I14" s="3" t="s">
        <v>129</v>
      </c>
      <c r="J14" s="8" t="s">
        <v>34</v>
      </c>
      <c r="K14" s="7" t="s">
        <v>44</v>
      </c>
      <c r="L14" s="3" t="s">
        <v>130</v>
      </c>
      <c r="M14" s="3" t="s">
        <v>131</v>
      </c>
      <c r="N14" s="8" t="s">
        <v>107</v>
      </c>
    </row>
    <row r="15" customFormat="false" ht="91.5" hidden="false" customHeight="true" outlineLevel="0" collapsed="false">
      <c r="A15" s="6" t="s">
        <v>132</v>
      </c>
      <c r="B15" s="3" t="s">
        <v>133</v>
      </c>
      <c r="C15" s="3" t="s">
        <v>126</v>
      </c>
      <c r="D15" s="7" t="s">
        <v>30</v>
      </c>
      <c r="E15" s="3" t="s">
        <v>134</v>
      </c>
      <c r="F15" s="7" t="s">
        <v>19</v>
      </c>
      <c r="G15" s="3" t="s">
        <v>135</v>
      </c>
      <c r="H15" s="7" t="s">
        <v>21</v>
      </c>
      <c r="I15" s="3" t="s">
        <v>136</v>
      </c>
      <c r="J15" s="8" t="s">
        <v>34</v>
      </c>
      <c r="K15" s="7" t="s">
        <v>35</v>
      </c>
      <c r="L15" s="3" t="s">
        <v>137</v>
      </c>
      <c r="M15" s="3" t="s">
        <v>138</v>
      </c>
      <c r="N15" s="8" t="s">
        <v>107</v>
      </c>
    </row>
    <row r="16" customFormat="false" ht="91.5" hidden="false" customHeight="true" outlineLevel="0" collapsed="false">
      <c r="A16" s="9" t="s">
        <v>139</v>
      </c>
      <c r="B16" s="3" t="s">
        <v>140</v>
      </c>
      <c r="C16" s="3" t="s">
        <v>126</v>
      </c>
      <c r="D16" s="10" t="s">
        <v>17</v>
      </c>
      <c r="E16" s="3" t="s">
        <v>141</v>
      </c>
      <c r="F16" s="10" t="s">
        <v>19</v>
      </c>
      <c r="G16" s="3" t="s">
        <v>142</v>
      </c>
      <c r="H16" s="10" t="s">
        <v>21</v>
      </c>
      <c r="I16" s="3" t="s">
        <v>143</v>
      </c>
      <c r="J16" s="11" t="s">
        <v>61</v>
      </c>
      <c r="K16" s="10" t="s">
        <v>144</v>
      </c>
      <c r="L16" s="3" t="s">
        <v>145</v>
      </c>
      <c r="M16" s="3" t="s">
        <v>146</v>
      </c>
      <c r="N16" s="11" t="s">
        <v>65</v>
      </c>
    </row>
    <row r="17" customFormat="false" ht="91.5" hidden="false" customHeight="true" outlineLevel="0" collapsed="false">
      <c r="A17" s="2" t="s">
        <v>147</v>
      </c>
      <c r="B17" s="3" t="s">
        <v>148</v>
      </c>
      <c r="C17" s="3" t="s">
        <v>126</v>
      </c>
      <c r="D17" s="4" t="s">
        <v>30</v>
      </c>
      <c r="E17" s="3" t="s">
        <v>149</v>
      </c>
      <c r="F17" s="4" t="s">
        <v>69</v>
      </c>
      <c r="G17" s="3" t="s">
        <v>150</v>
      </c>
      <c r="H17" s="4" t="s">
        <v>71</v>
      </c>
      <c r="I17" s="3" t="s">
        <v>151</v>
      </c>
      <c r="J17" s="5" t="s">
        <v>73</v>
      </c>
      <c r="K17" s="4" t="s">
        <v>35</v>
      </c>
      <c r="L17" s="3" t="s">
        <v>152</v>
      </c>
      <c r="M17" s="3" t="s">
        <v>153</v>
      </c>
      <c r="N17" s="5" t="s">
        <v>38</v>
      </c>
    </row>
    <row r="18" customFormat="false" ht="91.5" hidden="false" customHeight="true" outlineLevel="0" collapsed="false">
      <c r="A18" s="9" t="s">
        <v>154</v>
      </c>
      <c r="B18" s="3" t="s">
        <v>155</v>
      </c>
      <c r="C18" s="3" t="s">
        <v>126</v>
      </c>
      <c r="D18" s="10" t="s">
        <v>17</v>
      </c>
      <c r="E18" s="3" t="s">
        <v>156</v>
      </c>
      <c r="F18" s="10" t="s">
        <v>19</v>
      </c>
      <c r="G18" s="3" t="s">
        <v>157</v>
      </c>
      <c r="H18" s="10" t="s">
        <v>158</v>
      </c>
      <c r="I18" s="3" t="s">
        <v>159</v>
      </c>
      <c r="J18" s="11" t="s">
        <v>61</v>
      </c>
      <c r="K18" s="10" t="s">
        <v>160</v>
      </c>
      <c r="L18" s="3" t="s">
        <v>161</v>
      </c>
      <c r="M18" s="3" t="s">
        <v>162</v>
      </c>
      <c r="N18" s="11" t="s">
        <v>65</v>
      </c>
    </row>
    <row r="19" customFormat="false" ht="91.5" hidden="false" customHeight="true" outlineLevel="0" collapsed="false">
      <c r="A19" s="2" t="s">
        <v>163</v>
      </c>
      <c r="B19" s="3" t="s">
        <v>164</v>
      </c>
      <c r="C19" s="3" t="s">
        <v>126</v>
      </c>
      <c r="D19" s="4" t="s">
        <v>30</v>
      </c>
      <c r="E19" s="3" t="s">
        <v>165</v>
      </c>
      <c r="F19" s="4" t="s">
        <v>103</v>
      </c>
      <c r="G19" s="3" t="s">
        <v>166</v>
      </c>
      <c r="H19" s="4" t="s">
        <v>103</v>
      </c>
      <c r="I19" s="3" t="s">
        <v>44</v>
      </c>
      <c r="J19" s="5" t="s">
        <v>73</v>
      </c>
      <c r="K19" s="4" t="s">
        <v>35</v>
      </c>
      <c r="L19" s="3" t="s">
        <v>167</v>
      </c>
      <c r="M19" s="3" t="s">
        <v>168</v>
      </c>
      <c r="N19" s="5" t="s">
        <v>27</v>
      </c>
    </row>
    <row r="20" customFormat="false" ht="91.5" hidden="false" customHeight="true" outlineLevel="0" collapsed="false">
      <c r="A20" s="6" t="s">
        <v>169</v>
      </c>
      <c r="B20" s="3" t="s">
        <v>170</v>
      </c>
      <c r="C20" s="3" t="s">
        <v>171</v>
      </c>
      <c r="D20" s="7" t="s">
        <v>56</v>
      </c>
      <c r="E20" s="3" t="s">
        <v>172</v>
      </c>
      <c r="F20" s="7" t="s">
        <v>103</v>
      </c>
      <c r="G20" s="3" t="s">
        <v>173</v>
      </c>
      <c r="H20" s="7" t="s">
        <v>174</v>
      </c>
      <c r="I20" s="3" t="s">
        <v>175</v>
      </c>
      <c r="J20" s="8" t="s">
        <v>34</v>
      </c>
      <c r="K20" s="7" t="s">
        <v>44</v>
      </c>
      <c r="L20" s="3" t="s">
        <v>176</v>
      </c>
      <c r="M20" s="3" t="s">
        <v>177</v>
      </c>
      <c r="N20" s="8" t="s">
        <v>107</v>
      </c>
    </row>
    <row r="21" customFormat="false" ht="91.5" hidden="false" customHeight="true" outlineLevel="0" collapsed="false">
      <c r="A21" s="6" t="s">
        <v>178</v>
      </c>
      <c r="B21" s="3" t="s">
        <v>179</v>
      </c>
      <c r="C21" s="3" t="s">
        <v>171</v>
      </c>
      <c r="D21" s="7" t="s">
        <v>56</v>
      </c>
      <c r="E21" s="3" t="s">
        <v>180</v>
      </c>
      <c r="F21" s="7" t="s">
        <v>103</v>
      </c>
      <c r="G21" s="3" t="s">
        <v>44</v>
      </c>
      <c r="H21" s="7" t="s">
        <v>103</v>
      </c>
      <c r="I21" s="3" t="s">
        <v>44</v>
      </c>
      <c r="J21" s="8" t="s">
        <v>34</v>
      </c>
      <c r="K21" s="7" t="s">
        <v>44</v>
      </c>
      <c r="L21" s="3" t="s">
        <v>181</v>
      </c>
      <c r="M21" s="3" t="s">
        <v>182</v>
      </c>
      <c r="N21" s="8" t="s">
        <v>38</v>
      </c>
    </row>
    <row r="22" customFormat="false" ht="91.5" hidden="false" customHeight="true" outlineLevel="0" collapsed="false">
      <c r="A22" s="6" t="s">
        <v>183</v>
      </c>
      <c r="B22" s="3" t="s">
        <v>184</v>
      </c>
      <c r="C22" s="3" t="s">
        <v>171</v>
      </c>
      <c r="D22" s="7" t="s">
        <v>17</v>
      </c>
      <c r="E22" s="3" t="s">
        <v>185</v>
      </c>
      <c r="F22" s="7" t="s">
        <v>103</v>
      </c>
      <c r="G22" s="3" t="s">
        <v>44</v>
      </c>
      <c r="H22" s="7" t="s">
        <v>103</v>
      </c>
      <c r="I22" s="3" t="s">
        <v>44</v>
      </c>
      <c r="J22" s="8" t="s">
        <v>34</v>
      </c>
      <c r="K22" s="7" t="s">
        <v>44</v>
      </c>
      <c r="L22" s="3" t="s">
        <v>186</v>
      </c>
      <c r="M22" s="3" t="s">
        <v>187</v>
      </c>
      <c r="N22" s="8" t="s">
        <v>38</v>
      </c>
    </row>
    <row r="23" customFormat="false" ht="91.5" hidden="false" customHeight="true" outlineLevel="0" collapsed="false">
      <c r="A23" s="9" t="s">
        <v>188</v>
      </c>
      <c r="B23" s="3" t="s">
        <v>189</v>
      </c>
      <c r="C23" s="3" t="s">
        <v>171</v>
      </c>
      <c r="D23" s="10" t="s">
        <v>56</v>
      </c>
      <c r="E23" s="3" t="s">
        <v>190</v>
      </c>
      <c r="F23" s="10" t="s">
        <v>19</v>
      </c>
      <c r="G23" s="3" t="s">
        <v>191</v>
      </c>
      <c r="H23" s="10" t="s">
        <v>192</v>
      </c>
      <c r="I23" s="3" t="s">
        <v>193</v>
      </c>
      <c r="J23" s="11" t="s">
        <v>61</v>
      </c>
      <c r="K23" s="10" t="s">
        <v>62</v>
      </c>
      <c r="L23" s="3" t="s">
        <v>194</v>
      </c>
      <c r="M23" s="3" t="s">
        <v>195</v>
      </c>
      <c r="N23" s="11" t="s">
        <v>65</v>
      </c>
    </row>
    <row r="24" customFormat="false" ht="91.5" hidden="false" customHeight="true" outlineLevel="0" collapsed="false">
      <c r="A24" s="6" t="s">
        <v>196</v>
      </c>
      <c r="B24" s="3" t="s">
        <v>197</v>
      </c>
      <c r="C24" s="3" t="s">
        <v>171</v>
      </c>
      <c r="D24" s="7" t="s">
        <v>17</v>
      </c>
      <c r="E24" s="3" t="s">
        <v>198</v>
      </c>
      <c r="F24" s="7" t="s">
        <v>19</v>
      </c>
      <c r="G24" s="3" t="s">
        <v>199</v>
      </c>
      <c r="H24" s="7" t="s">
        <v>21</v>
      </c>
      <c r="I24" s="3" t="s">
        <v>200</v>
      </c>
      <c r="J24" s="8" t="s">
        <v>34</v>
      </c>
      <c r="K24" s="7" t="s">
        <v>35</v>
      </c>
      <c r="L24" s="3" t="s">
        <v>201</v>
      </c>
      <c r="M24" s="3" t="s">
        <v>202</v>
      </c>
      <c r="N24" s="8" t="s">
        <v>38</v>
      </c>
    </row>
    <row r="25" customFormat="false" ht="91.5" hidden="false" customHeight="true" outlineLevel="0" collapsed="false">
      <c r="A25" s="6" t="s">
        <v>203</v>
      </c>
      <c r="B25" s="3" t="s">
        <v>204</v>
      </c>
      <c r="C25" s="3" t="s">
        <v>171</v>
      </c>
      <c r="D25" s="7" t="s">
        <v>17</v>
      </c>
      <c r="E25" s="3" t="s">
        <v>205</v>
      </c>
      <c r="F25" s="7" t="s">
        <v>103</v>
      </c>
      <c r="G25" s="3" t="s">
        <v>206</v>
      </c>
      <c r="H25" s="7" t="s">
        <v>207</v>
      </c>
      <c r="I25" s="3" t="s">
        <v>208</v>
      </c>
      <c r="J25" s="8" t="s">
        <v>34</v>
      </c>
      <c r="K25" s="7" t="s">
        <v>44</v>
      </c>
      <c r="L25" s="3" t="s">
        <v>209</v>
      </c>
      <c r="M25" s="3" t="s">
        <v>210</v>
      </c>
      <c r="N25" s="8" t="s">
        <v>27</v>
      </c>
    </row>
    <row r="26" customFormat="false" ht="91.5" hidden="false" customHeight="true" outlineLevel="0" collapsed="false">
      <c r="A26" s="6" t="s">
        <v>211</v>
      </c>
      <c r="B26" s="3" t="s">
        <v>212</v>
      </c>
      <c r="C26" s="3" t="s">
        <v>171</v>
      </c>
      <c r="D26" s="7" t="s">
        <v>56</v>
      </c>
      <c r="E26" s="3" t="s">
        <v>213</v>
      </c>
      <c r="F26" s="7" t="s">
        <v>103</v>
      </c>
      <c r="G26" s="3" t="s">
        <v>44</v>
      </c>
      <c r="H26" s="7" t="s">
        <v>103</v>
      </c>
      <c r="I26" s="3" t="s">
        <v>44</v>
      </c>
      <c r="J26" s="8" t="s">
        <v>34</v>
      </c>
      <c r="K26" s="7" t="s">
        <v>44</v>
      </c>
      <c r="L26" s="3" t="s">
        <v>214</v>
      </c>
      <c r="M26" s="3" t="s">
        <v>106</v>
      </c>
      <c r="N26" s="8" t="s">
        <v>107</v>
      </c>
    </row>
    <row r="27" customFormat="false" ht="91.5" hidden="false" customHeight="true" outlineLevel="0" collapsed="false">
      <c r="A27" s="2" t="s">
        <v>215</v>
      </c>
      <c r="B27" s="3" t="s">
        <v>216</v>
      </c>
      <c r="C27" s="3" t="s">
        <v>171</v>
      </c>
      <c r="D27" s="4" t="s">
        <v>85</v>
      </c>
      <c r="E27" s="3" t="s">
        <v>217</v>
      </c>
      <c r="F27" s="4" t="s">
        <v>19</v>
      </c>
      <c r="G27" s="3" t="s">
        <v>218</v>
      </c>
      <c r="H27" s="4" t="s">
        <v>71</v>
      </c>
      <c r="I27" s="3" t="s">
        <v>219</v>
      </c>
      <c r="J27" s="5" t="s">
        <v>220</v>
      </c>
      <c r="K27" s="4" t="s">
        <v>24</v>
      </c>
      <c r="L27" s="3" t="s">
        <v>221</v>
      </c>
      <c r="M27" s="3" t="s">
        <v>222</v>
      </c>
      <c r="N27" s="5" t="s">
        <v>65</v>
      </c>
    </row>
    <row r="28" customFormat="false" ht="91.5" hidden="false" customHeight="true" outlineLevel="0" collapsed="false">
      <c r="A28" s="6" t="s">
        <v>223</v>
      </c>
      <c r="B28" s="3" t="s">
        <v>224</v>
      </c>
      <c r="C28" s="3" t="s">
        <v>171</v>
      </c>
      <c r="D28" s="7" t="s">
        <v>30</v>
      </c>
      <c r="E28" s="3" t="s">
        <v>225</v>
      </c>
      <c r="F28" s="7" t="s">
        <v>19</v>
      </c>
      <c r="G28" s="3" t="s">
        <v>226</v>
      </c>
      <c r="H28" s="7" t="s">
        <v>21</v>
      </c>
      <c r="I28" s="3" t="s">
        <v>227</v>
      </c>
      <c r="J28" s="8" t="s">
        <v>34</v>
      </c>
      <c r="K28" s="7" t="s">
        <v>35</v>
      </c>
      <c r="L28" s="3" t="s">
        <v>228</v>
      </c>
      <c r="M28" s="3" t="s">
        <v>229</v>
      </c>
      <c r="N28" s="8" t="s">
        <v>38</v>
      </c>
    </row>
    <row r="29" customFormat="false" ht="91.5" hidden="false" customHeight="true" outlineLevel="0" collapsed="false">
      <c r="A29" s="6" t="s">
        <v>230</v>
      </c>
      <c r="B29" s="3" t="s">
        <v>231</v>
      </c>
      <c r="C29" s="3" t="s">
        <v>171</v>
      </c>
      <c r="D29" s="7" t="s">
        <v>56</v>
      </c>
      <c r="E29" s="3" t="s">
        <v>232</v>
      </c>
      <c r="F29" s="7" t="s">
        <v>103</v>
      </c>
      <c r="G29" s="3" t="s">
        <v>44</v>
      </c>
      <c r="H29" s="7" t="s">
        <v>103</v>
      </c>
      <c r="I29" s="3" t="s">
        <v>44</v>
      </c>
      <c r="J29" s="8" t="s">
        <v>34</v>
      </c>
      <c r="K29" s="7" t="s">
        <v>44</v>
      </c>
      <c r="L29" s="3" t="s">
        <v>233</v>
      </c>
      <c r="M29" s="3" t="s">
        <v>234</v>
      </c>
      <c r="N29" s="8" t="s">
        <v>38</v>
      </c>
    </row>
    <row r="30" customFormat="false" ht="91.5" hidden="false" customHeight="true" outlineLevel="0" collapsed="false">
      <c r="A30" s="6" t="s">
        <v>235</v>
      </c>
      <c r="B30" s="3" t="s">
        <v>236</v>
      </c>
      <c r="C30" s="3" t="s">
        <v>237</v>
      </c>
      <c r="D30" s="7" t="s">
        <v>56</v>
      </c>
      <c r="E30" s="3" t="s">
        <v>238</v>
      </c>
      <c r="F30" s="7" t="s">
        <v>207</v>
      </c>
      <c r="G30" s="3" t="s">
        <v>239</v>
      </c>
      <c r="H30" s="7" t="s">
        <v>207</v>
      </c>
      <c r="I30" s="3" t="s">
        <v>240</v>
      </c>
      <c r="J30" s="8" t="s">
        <v>34</v>
      </c>
      <c r="K30" s="7" t="s">
        <v>44</v>
      </c>
      <c r="L30" s="3" t="s">
        <v>241</v>
      </c>
      <c r="M30" s="3" t="s">
        <v>242</v>
      </c>
      <c r="N30" s="8" t="s">
        <v>27</v>
      </c>
    </row>
    <row r="31" customFormat="false" ht="91.5" hidden="false" customHeight="true" outlineLevel="0" collapsed="false">
      <c r="A31" s="6" t="s">
        <v>243</v>
      </c>
      <c r="B31" s="3" t="s">
        <v>244</v>
      </c>
      <c r="C31" s="3" t="s">
        <v>237</v>
      </c>
      <c r="D31" s="7" t="s">
        <v>17</v>
      </c>
      <c r="E31" s="3" t="s">
        <v>245</v>
      </c>
      <c r="F31" s="7" t="s">
        <v>103</v>
      </c>
      <c r="G31" s="3" t="s">
        <v>44</v>
      </c>
      <c r="H31" s="7" t="s">
        <v>103</v>
      </c>
      <c r="I31" s="3" t="s">
        <v>44</v>
      </c>
      <c r="J31" s="8" t="s">
        <v>34</v>
      </c>
      <c r="K31" s="7" t="s">
        <v>44</v>
      </c>
      <c r="L31" s="3" t="s">
        <v>246</v>
      </c>
      <c r="M31" s="3" t="s">
        <v>247</v>
      </c>
      <c r="N31" s="8" t="s">
        <v>38</v>
      </c>
    </row>
    <row r="32" customFormat="false" ht="91.5" hidden="false" customHeight="true" outlineLevel="0" collapsed="false">
      <c r="A32" s="9" t="s">
        <v>248</v>
      </c>
      <c r="B32" s="3" t="s">
        <v>249</v>
      </c>
      <c r="C32" s="3" t="s">
        <v>237</v>
      </c>
      <c r="D32" s="10" t="s">
        <v>56</v>
      </c>
      <c r="E32" s="3" t="s">
        <v>250</v>
      </c>
      <c r="F32" s="10" t="s">
        <v>251</v>
      </c>
      <c r="G32" s="3" t="s">
        <v>252</v>
      </c>
      <c r="H32" s="10" t="s">
        <v>103</v>
      </c>
      <c r="I32" s="3" t="s">
        <v>44</v>
      </c>
      <c r="J32" s="11" t="s">
        <v>61</v>
      </c>
      <c r="K32" s="10" t="s">
        <v>62</v>
      </c>
      <c r="L32" s="3" t="s">
        <v>253</v>
      </c>
      <c r="M32" s="3" t="s">
        <v>254</v>
      </c>
      <c r="N32" s="11" t="s">
        <v>65</v>
      </c>
    </row>
    <row r="33" customFormat="false" ht="91.5" hidden="false" customHeight="true" outlineLevel="0" collapsed="false">
      <c r="A33" s="2" t="s">
        <v>255</v>
      </c>
      <c r="B33" s="3" t="s">
        <v>256</v>
      </c>
      <c r="C33" s="3" t="s">
        <v>237</v>
      </c>
      <c r="D33" s="4" t="s">
        <v>17</v>
      </c>
      <c r="E33" s="3" t="s">
        <v>257</v>
      </c>
      <c r="F33" s="4" t="s">
        <v>251</v>
      </c>
      <c r="G33" s="3" t="s">
        <v>258</v>
      </c>
      <c r="H33" s="4" t="s">
        <v>71</v>
      </c>
      <c r="I33" s="3" t="s">
        <v>259</v>
      </c>
      <c r="J33" s="5" t="s">
        <v>260</v>
      </c>
      <c r="K33" s="4" t="s">
        <v>261</v>
      </c>
      <c r="L33" s="3" t="s">
        <v>262</v>
      </c>
      <c r="M33" s="3" t="s">
        <v>263</v>
      </c>
      <c r="N33" s="5" t="s">
        <v>38</v>
      </c>
    </row>
    <row r="34" customFormat="false" ht="91.5" hidden="false" customHeight="true" outlineLevel="0" collapsed="false">
      <c r="A34" s="2" t="s">
        <v>264</v>
      </c>
      <c r="B34" s="3" t="s">
        <v>265</v>
      </c>
      <c r="C34" s="3" t="s">
        <v>266</v>
      </c>
      <c r="D34" s="4" t="s">
        <v>17</v>
      </c>
      <c r="E34" s="3" t="s">
        <v>267</v>
      </c>
      <c r="F34" s="4" t="s">
        <v>103</v>
      </c>
      <c r="G34" s="3" t="s">
        <v>268</v>
      </c>
      <c r="H34" s="4" t="s">
        <v>103</v>
      </c>
      <c r="I34" s="3" t="s">
        <v>44</v>
      </c>
      <c r="J34" s="5" t="s">
        <v>73</v>
      </c>
      <c r="K34" s="4" t="s">
        <v>24</v>
      </c>
      <c r="L34" s="3" t="s">
        <v>269</v>
      </c>
      <c r="M34" s="3" t="s">
        <v>270</v>
      </c>
      <c r="N34" s="5" t="s">
        <v>38</v>
      </c>
    </row>
    <row r="35" customFormat="false" ht="91.5" hidden="false" customHeight="true" outlineLevel="0" collapsed="false">
      <c r="A35" s="2" t="s">
        <v>271</v>
      </c>
      <c r="B35" s="3" t="s">
        <v>272</v>
      </c>
      <c r="C35" s="3" t="s">
        <v>266</v>
      </c>
      <c r="D35" s="4" t="s">
        <v>30</v>
      </c>
      <c r="E35" s="3" t="s">
        <v>273</v>
      </c>
      <c r="F35" s="4" t="s">
        <v>103</v>
      </c>
      <c r="G35" s="3" t="s">
        <v>274</v>
      </c>
      <c r="H35" s="4" t="s">
        <v>103</v>
      </c>
      <c r="I35" s="3" t="s">
        <v>44</v>
      </c>
      <c r="J35" s="5" t="s">
        <v>73</v>
      </c>
      <c r="K35" s="4" t="s">
        <v>275</v>
      </c>
      <c r="L35" s="3" t="s">
        <v>276</v>
      </c>
      <c r="M35" s="3" t="s">
        <v>277</v>
      </c>
      <c r="N35" s="5" t="s">
        <v>27</v>
      </c>
    </row>
    <row r="36" customFormat="false" ht="91.5" hidden="false" customHeight="true" outlineLevel="0" collapsed="false">
      <c r="A36" s="2" t="s">
        <v>278</v>
      </c>
      <c r="B36" s="3" t="s">
        <v>279</v>
      </c>
      <c r="C36" s="3" t="s">
        <v>266</v>
      </c>
      <c r="D36" s="4" t="s">
        <v>30</v>
      </c>
      <c r="E36" s="3" t="s">
        <v>280</v>
      </c>
      <c r="F36" s="4" t="s">
        <v>103</v>
      </c>
      <c r="G36" s="3" t="s">
        <v>44</v>
      </c>
      <c r="H36" s="4" t="s">
        <v>103</v>
      </c>
      <c r="I36" s="3" t="s">
        <v>44</v>
      </c>
      <c r="J36" s="5" t="s">
        <v>73</v>
      </c>
      <c r="K36" s="4" t="s">
        <v>35</v>
      </c>
      <c r="L36" s="3" t="s">
        <v>281</v>
      </c>
      <c r="M36" s="3" t="s">
        <v>282</v>
      </c>
      <c r="N36" s="5" t="s">
        <v>38</v>
      </c>
    </row>
    <row r="37" customFormat="false" ht="91.5" hidden="false" customHeight="true" outlineLevel="0" collapsed="false">
      <c r="A37" s="9" t="s">
        <v>283</v>
      </c>
      <c r="B37" s="3" t="s">
        <v>284</v>
      </c>
      <c r="C37" s="3" t="s">
        <v>266</v>
      </c>
      <c r="D37" s="10" t="s">
        <v>17</v>
      </c>
      <c r="E37" s="3" t="s">
        <v>285</v>
      </c>
      <c r="F37" s="10" t="s">
        <v>19</v>
      </c>
      <c r="G37" s="3" t="s">
        <v>286</v>
      </c>
      <c r="H37" s="10" t="s">
        <v>287</v>
      </c>
      <c r="I37" s="3" t="s">
        <v>288</v>
      </c>
      <c r="J37" s="11" t="s">
        <v>61</v>
      </c>
      <c r="K37" s="10" t="s">
        <v>89</v>
      </c>
      <c r="L37" s="3" t="s">
        <v>289</v>
      </c>
      <c r="M37" s="3" t="s">
        <v>290</v>
      </c>
      <c r="N37" s="11" t="s">
        <v>65</v>
      </c>
    </row>
    <row r="38" customFormat="false" ht="91.5" hidden="false" customHeight="true" outlineLevel="0" collapsed="false">
      <c r="A38" s="2" t="s">
        <v>291</v>
      </c>
      <c r="B38" s="3" t="s">
        <v>292</v>
      </c>
      <c r="C38" s="3" t="s">
        <v>266</v>
      </c>
      <c r="D38" s="4" t="s">
        <v>30</v>
      </c>
      <c r="E38" s="3" t="s">
        <v>293</v>
      </c>
      <c r="F38" s="4" t="s">
        <v>19</v>
      </c>
      <c r="G38" s="3" t="s">
        <v>294</v>
      </c>
      <c r="H38" s="4" t="s">
        <v>21</v>
      </c>
      <c r="I38" s="3" t="s">
        <v>295</v>
      </c>
      <c r="J38" s="5" t="s">
        <v>220</v>
      </c>
      <c r="K38" s="4" t="s">
        <v>24</v>
      </c>
      <c r="L38" s="3" t="s">
        <v>296</v>
      </c>
      <c r="M38" s="3" t="s">
        <v>297</v>
      </c>
      <c r="N38" s="5" t="s">
        <v>27</v>
      </c>
    </row>
    <row r="39" customFormat="false" ht="91.5" hidden="false" customHeight="true" outlineLevel="0" collapsed="false">
      <c r="A39" s="6" t="s">
        <v>298</v>
      </c>
      <c r="B39" s="3" t="s">
        <v>299</v>
      </c>
      <c r="C39" s="3" t="s">
        <v>266</v>
      </c>
      <c r="D39" s="7" t="s">
        <v>30</v>
      </c>
      <c r="E39" s="3" t="s">
        <v>300</v>
      </c>
      <c r="F39" s="7" t="s">
        <v>19</v>
      </c>
      <c r="G39" s="3" t="s">
        <v>301</v>
      </c>
      <c r="H39" s="7" t="s">
        <v>21</v>
      </c>
      <c r="I39" s="3" t="s">
        <v>302</v>
      </c>
      <c r="J39" s="8" t="s">
        <v>34</v>
      </c>
      <c r="K39" s="7" t="s">
        <v>44</v>
      </c>
      <c r="L39" s="3" t="s">
        <v>303</v>
      </c>
      <c r="M39" s="3" t="s">
        <v>304</v>
      </c>
      <c r="N39" s="8" t="s">
        <v>107</v>
      </c>
    </row>
    <row r="40" customFormat="false" ht="91.5" hidden="false" customHeight="true" outlineLevel="0" collapsed="false">
      <c r="A40" s="6" t="s">
        <v>305</v>
      </c>
      <c r="B40" s="3" t="s">
        <v>306</v>
      </c>
      <c r="C40" s="3" t="s">
        <v>307</v>
      </c>
      <c r="D40" s="7" t="s">
        <v>17</v>
      </c>
      <c r="E40" s="3" t="s">
        <v>308</v>
      </c>
      <c r="F40" s="7" t="s">
        <v>19</v>
      </c>
      <c r="G40" s="3" t="s">
        <v>309</v>
      </c>
      <c r="H40" s="7" t="s">
        <v>21</v>
      </c>
      <c r="I40" s="3" t="s">
        <v>310</v>
      </c>
      <c r="J40" s="8" t="s">
        <v>34</v>
      </c>
      <c r="K40" s="7" t="s">
        <v>24</v>
      </c>
      <c r="L40" s="3" t="s">
        <v>311</v>
      </c>
      <c r="M40" s="3" t="s">
        <v>312</v>
      </c>
      <c r="N40" s="8" t="s">
        <v>38</v>
      </c>
    </row>
    <row r="41" customFormat="false" ht="91.5" hidden="false" customHeight="true" outlineLevel="0" collapsed="false">
      <c r="A41" s="9" t="s">
        <v>313</v>
      </c>
      <c r="B41" s="3" t="s">
        <v>314</v>
      </c>
      <c r="C41" s="3" t="s">
        <v>307</v>
      </c>
      <c r="D41" s="10" t="s">
        <v>17</v>
      </c>
      <c r="E41" s="3" t="s">
        <v>315</v>
      </c>
      <c r="F41" s="10" t="s">
        <v>19</v>
      </c>
      <c r="G41" s="3" t="s">
        <v>316</v>
      </c>
      <c r="H41" s="10" t="s">
        <v>21</v>
      </c>
      <c r="I41" s="3" t="s">
        <v>317</v>
      </c>
      <c r="J41" s="11" t="s">
        <v>61</v>
      </c>
      <c r="K41" s="10" t="s">
        <v>62</v>
      </c>
      <c r="L41" s="3" t="s">
        <v>318</v>
      </c>
      <c r="M41" s="3" t="s">
        <v>319</v>
      </c>
      <c r="N41" s="11" t="s">
        <v>65</v>
      </c>
    </row>
    <row r="42" customFormat="false" ht="91.5" hidden="false" customHeight="true" outlineLevel="0" collapsed="false">
      <c r="A42" s="9" t="s">
        <v>320</v>
      </c>
      <c r="B42" s="3" t="s">
        <v>321</v>
      </c>
      <c r="C42" s="3" t="s">
        <v>307</v>
      </c>
      <c r="D42" s="10" t="s">
        <v>17</v>
      </c>
      <c r="E42" s="3" t="s">
        <v>322</v>
      </c>
      <c r="F42" s="10" t="s">
        <v>19</v>
      </c>
      <c r="G42" s="3" t="s">
        <v>323</v>
      </c>
      <c r="H42" s="10" t="s">
        <v>21</v>
      </c>
      <c r="I42" s="3" t="s">
        <v>324</v>
      </c>
      <c r="J42" s="11" t="s">
        <v>61</v>
      </c>
      <c r="K42" s="10" t="s">
        <v>89</v>
      </c>
      <c r="L42" s="3" t="s">
        <v>325</v>
      </c>
      <c r="M42" s="3" t="s">
        <v>326</v>
      </c>
      <c r="N42" s="11" t="s">
        <v>65</v>
      </c>
    </row>
    <row r="43" customFormat="false" ht="91.5" hidden="false" customHeight="true" outlineLevel="0" collapsed="false">
      <c r="A43" s="2" t="s">
        <v>327</v>
      </c>
      <c r="B43" s="3" t="s">
        <v>328</v>
      </c>
      <c r="C43" s="3" t="s">
        <v>329</v>
      </c>
      <c r="D43" s="4" t="s">
        <v>17</v>
      </c>
      <c r="E43" s="3" t="s">
        <v>330</v>
      </c>
      <c r="F43" s="4" t="s">
        <v>19</v>
      </c>
      <c r="G43" s="3" t="s">
        <v>331</v>
      </c>
      <c r="H43" s="4" t="s">
        <v>21</v>
      </c>
      <c r="I43" s="3" t="s">
        <v>332</v>
      </c>
      <c r="J43" s="5" t="s">
        <v>220</v>
      </c>
      <c r="K43" s="4" t="s">
        <v>24</v>
      </c>
      <c r="L43" s="3" t="s">
        <v>333</v>
      </c>
      <c r="M43" s="3" t="s">
        <v>334</v>
      </c>
      <c r="N43" s="5" t="s">
        <v>65</v>
      </c>
    </row>
    <row r="44" customFormat="false" ht="91.5" hidden="false" customHeight="true" outlineLevel="0" collapsed="false">
      <c r="A44" s="9" t="s">
        <v>335</v>
      </c>
      <c r="B44" s="3" t="s">
        <v>336</v>
      </c>
      <c r="C44" s="3" t="s">
        <v>329</v>
      </c>
      <c r="D44" s="10" t="s">
        <v>17</v>
      </c>
      <c r="E44" s="3" t="s">
        <v>337</v>
      </c>
      <c r="F44" s="10" t="s">
        <v>338</v>
      </c>
      <c r="G44" s="3" t="s">
        <v>339</v>
      </c>
      <c r="H44" s="10" t="s">
        <v>21</v>
      </c>
      <c r="I44" s="3" t="s">
        <v>340</v>
      </c>
      <c r="J44" s="11" t="s">
        <v>341</v>
      </c>
      <c r="K44" s="10" t="s">
        <v>342</v>
      </c>
      <c r="L44" s="3" t="s">
        <v>343</v>
      </c>
      <c r="M44" s="3" t="s">
        <v>344</v>
      </c>
      <c r="N44" s="11" t="s">
        <v>65</v>
      </c>
    </row>
    <row r="45" customFormat="false" ht="91.5" hidden="false" customHeight="true" outlineLevel="0" collapsed="false">
      <c r="A45" s="9" t="s">
        <v>345</v>
      </c>
      <c r="B45" s="3" t="s">
        <v>346</v>
      </c>
      <c r="C45" s="3" t="s">
        <v>329</v>
      </c>
      <c r="D45" s="10" t="s">
        <v>56</v>
      </c>
      <c r="E45" s="3" t="s">
        <v>347</v>
      </c>
      <c r="F45" s="10" t="s">
        <v>19</v>
      </c>
      <c r="G45" s="3" t="s">
        <v>348</v>
      </c>
      <c r="H45" s="10" t="s">
        <v>21</v>
      </c>
      <c r="I45" s="3" t="s">
        <v>349</v>
      </c>
      <c r="J45" s="11" t="s">
        <v>61</v>
      </c>
      <c r="K45" s="10" t="s">
        <v>62</v>
      </c>
      <c r="L45" s="3" t="s">
        <v>350</v>
      </c>
      <c r="M45" s="3" t="s">
        <v>351</v>
      </c>
      <c r="N45" s="11" t="s">
        <v>65</v>
      </c>
    </row>
    <row r="46" customFormat="false" ht="91.5" hidden="false" customHeight="true" outlineLevel="0" collapsed="false">
      <c r="A46" s="9" t="s">
        <v>352</v>
      </c>
      <c r="B46" s="3" t="s">
        <v>353</v>
      </c>
      <c r="C46" s="3" t="s">
        <v>329</v>
      </c>
      <c r="D46" s="10" t="s">
        <v>56</v>
      </c>
      <c r="E46" s="3" t="s">
        <v>354</v>
      </c>
      <c r="F46" s="10" t="s">
        <v>19</v>
      </c>
      <c r="G46" s="3" t="s">
        <v>355</v>
      </c>
      <c r="H46" s="10" t="s">
        <v>21</v>
      </c>
      <c r="I46" s="3" t="s">
        <v>356</v>
      </c>
      <c r="J46" s="11" t="s">
        <v>61</v>
      </c>
      <c r="K46" s="10" t="s">
        <v>62</v>
      </c>
      <c r="L46" s="3" t="s">
        <v>357</v>
      </c>
      <c r="M46" s="3" t="s">
        <v>358</v>
      </c>
      <c r="N46" s="11" t="s">
        <v>65</v>
      </c>
    </row>
    <row r="47" customFormat="false" ht="91.5" hidden="false" customHeight="true" outlineLevel="0" collapsed="false">
      <c r="A47" s="9" t="s">
        <v>359</v>
      </c>
      <c r="B47" s="3" t="s">
        <v>360</v>
      </c>
      <c r="C47" s="3" t="s">
        <v>329</v>
      </c>
      <c r="D47" s="10" t="s">
        <v>56</v>
      </c>
      <c r="E47" s="3" t="s">
        <v>361</v>
      </c>
      <c r="F47" s="10" t="s">
        <v>19</v>
      </c>
      <c r="G47" s="3" t="s">
        <v>362</v>
      </c>
      <c r="H47" s="10" t="s">
        <v>21</v>
      </c>
      <c r="I47" s="3" t="s">
        <v>363</v>
      </c>
      <c r="J47" s="11" t="s">
        <v>61</v>
      </c>
      <c r="K47" s="10" t="s">
        <v>62</v>
      </c>
      <c r="L47" s="3" t="s">
        <v>364</v>
      </c>
      <c r="M47" s="3" t="s">
        <v>365</v>
      </c>
      <c r="N47" s="11" t="s">
        <v>65</v>
      </c>
    </row>
    <row r="48" customFormat="false" ht="91.5" hidden="false" customHeight="true" outlineLevel="0" collapsed="false">
      <c r="A48" s="9" t="s">
        <v>366</v>
      </c>
      <c r="B48" s="3" t="s">
        <v>367</v>
      </c>
      <c r="C48" s="3" t="s">
        <v>329</v>
      </c>
      <c r="D48" s="10" t="s">
        <v>56</v>
      </c>
      <c r="E48" s="3" t="s">
        <v>368</v>
      </c>
      <c r="F48" s="10" t="s">
        <v>19</v>
      </c>
      <c r="G48" s="3" t="s">
        <v>369</v>
      </c>
      <c r="H48" s="10" t="s">
        <v>103</v>
      </c>
      <c r="I48" s="3" t="s">
        <v>44</v>
      </c>
      <c r="J48" s="11" t="s">
        <v>61</v>
      </c>
      <c r="K48" s="10" t="s">
        <v>62</v>
      </c>
      <c r="L48" s="3" t="s">
        <v>370</v>
      </c>
      <c r="M48" s="3" t="s">
        <v>358</v>
      </c>
      <c r="N48" s="11" t="s">
        <v>65</v>
      </c>
    </row>
    <row r="49" customFormat="false" ht="91.5" hidden="false" customHeight="true" outlineLevel="0" collapsed="false">
      <c r="A49" s="2" t="s">
        <v>371</v>
      </c>
      <c r="B49" s="3" t="s">
        <v>372</v>
      </c>
      <c r="C49" s="3" t="s">
        <v>373</v>
      </c>
      <c r="D49" s="4" t="s">
        <v>30</v>
      </c>
      <c r="E49" s="3" t="s">
        <v>374</v>
      </c>
      <c r="F49" s="4" t="s">
        <v>375</v>
      </c>
      <c r="G49" s="3" t="s">
        <v>376</v>
      </c>
      <c r="H49" s="4" t="s">
        <v>21</v>
      </c>
      <c r="I49" s="3" t="s">
        <v>208</v>
      </c>
      <c r="J49" s="5" t="s">
        <v>260</v>
      </c>
      <c r="K49" s="4" t="s">
        <v>24</v>
      </c>
      <c r="L49" s="3" t="s">
        <v>377</v>
      </c>
      <c r="M49" s="3" t="s">
        <v>378</v>
      </c>
      <c r="N49" s="5" t="s">
        <v>38</v>
      </c>
    </row>
    <row r="50" customFormat="false" ht="91.5" hidden="false" customHeight="true" outlineLevel="0" collapsed="false">
      <c r="A50" s="2" t="s">
        <v>379</v>
      </c>
      <c r="B50" s="3" t="s">
        <v>380</v>
      </c>
      <c r="C50" s="3" t="s">
        <v>373</v>
      </c>
      <c r="D50" s="4" t="s">
        <v>17</v>
      </c>
      <c r="E50" s="3" t="s">
        <v>381</v>
      </c>
      <c r="F50" s="4" t="s">
        <v>382</v>
      </c>
      <c r="G50" s="3" t="s">
        <v>383</v>
      </c>
      <c r="H50" s="4" t="s">
        <v>21</v>
      </c>
      <c r="I50" s="3" t="s">
        <v>384</v>
      </c>
      <c r="J50" s="5" t="s">
        <v>220</v>
      </c>
      <c r="K50" s="4" t="s">
        <v>24</v>
      </c>
      <c r="L50" s="3" t="s">
        <v>385</v>
      </c>
      <c r="M50" s="3" t="s">
        <v>386</v>
      </c>
      <c r="N50" s="5" t="s">
        <v>65</v>
      </c>
    </row>
    <row r="51" customFormat="false" ht="91.5" hidden="false" customHeight="true" outlineLevel="0" collapsed="false">
      <c r="A51" s="2" t="s">
        <v>387</v>
      </c>
      <c r="B51" s="3" t="s">
        <v>388</v>
      </c>
      <c r="C51" s="3" t="s">
        <v>373</v>
      </c>
      <c r="D51" s="4" t="s">
        <v>17</v>
      </c>
      <c r="E51" s="3" t="s">
        <v>389</v>
      </c>
      <c r="F51" s="4" t="s">
        <v>382</v>
      </c>
      <c r="G51" s="3" t="s">
        <v>390</v>
      </c>
      <c r="H51" s="4" t="s">
        <v>21</v>
      </c>
      <c r="I51" s="3" t="s">
        <v>391</v>
      </c>
      <c r="J51" s="5" t="s">
        <v>220</v>
      </c>
      <c r="K51" s="4" t="s">
        <v>24</v>
      </c>
      <c r="L51" s="3" t="s">
        <v>392</v>
      </c>
      <c r="M51" s="3" t="s">
        <v>393</v>
      </c>
      <c r="N51" s="5" t="s">
        <v>65</v>
      </c>
    </row>
    <row r="52" customFormat="false" ht="91.5" hidden="false" customHeight="true" outlineLevel="0" collapsed="false">
      <c r="A52" s="2" t="s">
        <v>394</v>
      </c>
      <c r="B52" s="3" t="s">
        <v>395</v>
      </c>
      <c r="C52" s="3" t="s">
        <v>396</v>
      </c>
      <c r="D52" s="4" t="s">
        <v>17</v>
      </c>
      <c r="E52" s="3" t="s">
        <v>397</v>
      </c>
      <c r="F52" s="4" t="s">
        <v>19</v>
      </c>
      <c r="G52" s="3" t="s">
        <v>398</v>
      </c>
      <c r="H52" s="4" t="s">
        <v>21</v>
      </c>
      <c r="I52" s="3" t="s">
        <v>399</v>
      </c>
      <c r="J52" s="5" t="s">
        <v>23</v>
      </c>
      <c r="K52" s="4" t="s">
        <v>24</v>
      </c>
      <c r="L52" s="3" t="s">
        <v>400</v>
      </c>
      <c r="M52" s="3" t="s">
        <v>401</v>
      </c>
      <c r="N52" s="5" t="s">
        <v>27</v>
      </c>
    </row>
    <row r="53" customFormat="false" ht="91.5" hidden="false" customHeight="true" outlineLevel="0" collapsed="false">
      <c r="A53" s="2" t="s">
        <v>402</v>
      </c>
      <c r="B53" s="3" t="s">
        <v>403</v>
      </c>
      <c r="C53" s="3" t="s">
        <v>396</v>
      </c>
      <c r="D53" s="4" t="s">
        <v>17</v>
      </c>
      <c r="E53" s="3" t="s">
        <v>404</v>
      </c>
      <c r="F53" s="4" t="s">
        <v>375</v>
      </c>
      <c r="G53" s="3" t="s">
        <v>405</v>
      </c>
      <c r="H53" s="4" t="s">
        <v>406</v>
      </c>
      <c r="I53" s="3" t="s">
        <v>407</v>
      </c>
      <c r="J53" s="5" t="s">
        <v>23</v>
      </c>
      <c r="K53" s="4" t="s">
        <v>408</v>
      </c>
      <c r="L53" s="3" t="s">
        <v>409</v>
      </c>
      <c r="M53" s="3" t="s">
        <v>410</v>
      </c>
      <c r="N53" s="5" t="s">
        <v>38</v>
      </c>
    </row>
    <row r="54" customFormat="false" ht="91.5" hidden="false" customHeight="true" outlineLevel="0" collapsed="false">
      <c r="A54" s="2" t="s">
        <v>411</v>
      </c>
      <c r="B54" s="3" t="s">
        <v>412</v>
      </c>
      <c r="C54" s="3" t="s">
        <v>396</v>
      </c>
      <c r="D54" s="4" t="s">
        <v>17</v>
      </c>
      <c r="E54" s="3" t="s">
        <v>413</v>
      </c>
      <c r="F54" s="4" t="s">
        <v>414</v>
      </c>
      <c r="G54" s="3" t="s">
        <v>415</v>
      </c>
      <c r="H54" s="4" t="s">
        <v>416</v>
      </c>
      <c r="I54" s="3" t="s">
        <v>417</v>
      </c>
      <c r="J54" s="5" t="s">
        <v>260</v>
      </c>
      <c r="K54" s="4" t="s">
        <v>144</v>
      </c>
      <c r="L54" s="3" t="s">
        <v>418</v>
      </c>
      <c r="M54" s="3" t="s">
        <v>419</v>
      </c>
      <c r="N54" s="5" t="s">
        <v>27</v>
      </c>
    </row>
    <row r="55" customFormat="false" ht="91.5" hidden="false" customHeight="true" outlineLevel="0" collapsed="false">
      <c r="A55" s="2" t="s">
        <v>420</v>
      </c>
      <c r="B55" s="3" t="s">
        <v>421</v>
      </c>
      <c r="C55" s="3" t="s">
        <v>422</v>
      </c>
      <c r="D55" s="4" t="s">
        <v>30</v>
      </c>
      <c r="E55" s="3" t="s">
        <v>423</v>
      </c>
      <c r="F55" s="4" t="s">
        <v>103</v>
      </c>
      <c r="G55" s="3" t="s">
        <v>424</v>
      </c>
      <c r="H55" s="4" t="s">
        <v>103</v>
      </c>
      <c r="I55" s="3" t="s">
        <v>425</v>
      </c>
      <c r="J55" s="5" t="s">
        <v>73</v>
      </c>
      <c r="K55" s="4" t="s">
        <v>24</v>
      </c>
      <c r="L55" s="3" t="s">
        <v>426</v>
      </c>
      <c r="M55" s="3" t="s">
        <v>427</v>
      </c>
      <c r="N55" s="5" t="s">
        <v>27</v>
      </c>
    </row>
    <row r="56" customFormat="false" ht="91.5" hidden="false" customHeight="true" outlineLevel="0" collapsed="false">
      <c r="A56" s="6" t="s">
        <v>428</v>
      </c>
      <c r="B56" s="3" t="s">
        <v>429</v>
      </c>
      <c r="C56" s="3" t="s">
        <v>422</v>
      </c>
      <c r="D56" s="7" t="s">
        <v>56</v>
      </c>
      <c r="E56" s="3" t="s">
        <v>430</v>
      </c>
      <c r="F56" s="7" t="s">
        <v>103</v>
      </c>
      <c r="G56" s="3" t="s">
        <v>431</v>
      </c>
      <c r="H56" s="7" t="s">
        <v>103</v>
      </c>
      <c r="I56" s="3" t="s">
        <v>44</v>
      </c>
      <c r="J56" s="8" t="s">
        <v>34</v>
      </c>
      <c r="K56" s="7" t="s">
        <v>44</v>
      </c>
      <c r="L56" s="3" t="s">
        <v>432</v>
      </c>
      <c r="M56" s="3" t="s">
        <v>433</v>
      </c>
      <c r="N56" s="8" t="s">
        <v>38</v>
      </c>
    </row>
    <row r="57" customFormat="false" ht="91.5" hidden="false" customHeight="true" outlineLevel="0" collapsed="false">
      <c r="A57" s="6" t="s">
        <v>434</v>
      </c>
      <c r="B57" s="3" t="s">
        <v>435</v>
      </c>
      <c r="C57" s="3" t="s">
        <v>422</v>
      </c>
      <c r="D57" s="7" t="s">
        <v>56</v>
      </c>
      <c r="E57" s="3" t="s">
        <v>436</v>
      </c>
      <c r="F57" s="7" t="s">
        <v>103</v>
      </c>
      <c r="G57" s="3" t="s">
        <v>437</v>
      </c>
      <c r="H57" s="7" t="s">
        <v>103</v>
      </c>
      <c r="I57" s="3" t="s">
        <v>44</v>
      </c>
      <c r="J57" s="8" t="s">
        <v>34</v>
      </c>
      <c r="K57" s="7" t="s">
        <v>44</v>
      </c>
      <c r="L57" s="3" t="s">
        <v>438</v>
      </c>
      <c r="M57" s="3" t="s">
        <v>439</v>
      </c>
      <c r="N57" s="8" t="s">
        <v>107</v>
      </c>
    </row>
    <row r="58" customFormat="false" ht="91.5" hidden="false" customHeight="true" outlineLevel="0" collapsed="false">
      <c r="A58" s="6" t="s">
        <v>440</v>
      </c>
      <c r="B58" s="3" t="s">
        <v>441</v>
      </c>
      <c r="C58" s="3" t="s">
        <v>422</v>
      </c>
      <c r="D58" s="7" t="s">
        <v>56</v>
      </c>
      <c r="E58" s="3" t="s">
        <v>442</v>
      </c>
      <c r="F58" s="7" t="s">
        <v>103</v>
      </c>
      <c r="G58" s="3" t="s">
        <v>44</v>
      </c>
      <c r="H58" s="7" t="s">
        <v>103</v>
      </c>
      <c r="I58" s="3" t="s">
        <v>44</v>
      </c>
      <c r="J58" s="8" t="s">
        <v>34</v>
      </c>
      <c r="K58" s="7" t="s">
        <v>44</v>
      </c>
      <c r="L58" s="3" t="s">
        <v>443</v>
      </c>
      <c r="M58" s="3" t="s">
        <v>444</v>
      </c>
      <c r="N58" s="8" t="s">
        <v>38</v>
      </c>
    </row>
    <row r="59" customFormat="false" ht="91.5" hidden="false" customHeight="true" outlineLevel="0" collapsed="false">
      <c r="A59" s="6" t="s">
        <v>445</v>
      </c>
      <c r="B59" s="3" t="s">
        <v>446</v>
      </c>
      <c r="C59" s="3" t="s">
        <v>422</v>
      </c>
      <c r="D59" s="7" t="s">
        <v>56</v>
      </c>
      <c r="E59" s="3" t="s">
        <v>447</v>
      </c>
      <c r="F59" s="7" t="s">
        <v>103</v>
      </c>
      <c r="G59" s="3" t="s">
        <v>44</v>
      </c>
      <c r="H59" s="7" t="s">
        <v>103</v>
      </c>
      <c r="I59" s="3" t="s">
        <v>44</v>
      </c>
      <c r="J59" s="8" t="s">
        <v>34</v>
      </c>
      <c r="K59" s="7" t="s">
        <v>44</v>
      </c>
      <c r="L59" s="3" t="s">
        <v>448</v>
      </c>
      <c r="M59" s="3" t="s">
        <v>449</v>
      </c>
      <c r="N59" s="8" t="s">
        <v>107</v>
      </c>
    </row>
    <row r="60" customFormat="false" ht="91.5" hidden="false" customHeight="true" outlineLevel="0" collapsed="false">
      <c r="A60" s="6" t="s">
        <v>450</v>
      </c>
      <c r="B60" s="3" t="s">
        <v>451</v>
      </c>
      <c r="C60" s="3" t="s">
        <v>422</v>
      </c>
      <c r="D60" s="7" t="s">
        <v>56</v>
      </c>
      <c r="E60" s="3" t="s">
        <v>452</v>
      </c>
      <c r="F60" s="7" t="s">
        <v>207</v>
      </c>
      <c r="G60" s="3" t="s">
        <v>453</v>
      </c>
      <c r="H60" s="7" t="s">
        <v>207</v>
      </c>
      <c r="I60" s="3" t="s">
        <v>454</v>
      </c>
      <c r="J60" s="8" t="s">
        <v>34</v>
      </c>
      <c r="K60" s="7" t="s">
        <v>44</v>
      </c>
      <c r="L60" s="3" t="s">
        <v>455</v>
      </c>
      <c r="M60" s="3" t="s">
        <v>456</v>
      </c>
      <c r="N60" s="8" t="s">
        <v>38</v>
      </c>
    </row>
    <row r="61" customFormat="false" ht="91.5" hidden="false" customHeight="true" outlineLevel="0" collapsed="false">
      <c r="A61" s="12" t="s">
        <v>457</v>
      </c>
      <c r="B61" s="3" t="s">
        <v>458</v>
      </c>
      <c r="C61" s="3" t="s">
        <v>422</v>
      </c>
      <c r="D61" s="13" t="s">
        <v>56</v>
      </c>
      <c r="E61" s="3" t="s">
        <v>459</v>
      </c>
      <c r="F61" s="13" t="s">
        <v>103</v>
      </c>
      <c r="G61" s="3" t="s">
        <v>44</v>
      </c>
      <c r="H61" s="13" t="s">
        <v>103</v>
      </c>
      <c r="I61" s="3" t="s">
        <v>44</v>
      </c>
      <c r="J61" s="14" t="s">
        <v>460</v>
      </c>
      <c r="K61" s="13" t="s">
        <v>44</v>
      </c>
      <c r="L61" s="3" t="s">
        <v>461</v>
      </c>
      <c r="M61" s="3" t="s">
        <v>462</v>
      </c>
      <c r="N61" s="14" t="s">
        <v>44</v>
      </c>
    </row>
    <row r="62" customFormat="false" ht="91.5" hidden="false" customHeight="true" outlineLevel="0" collapsed="false">
      <c r="A62" s="2" t="s">
        <v>463</v>
      </c>
      <c r="B62" s="3" t="s">
        <v>464</v>
      </c>
      <c r="C62" s="3" t="s">
        <v>422</v>
      </c>
      <c r="D62" s="4" t="s">
        <v>17</v>
      </c>
      <c r="E62" s="3" t="s">
        <v>465</v>
      </c>
      <c r="F62" s="4" t="s">
        <v>466</v>
      </c>
      <c r="G62" s="3" t="s">
        <v>467</v>
      </c>
      <c r="H62" s="4" t="s">
        <v>21</v>
      </c>
      <c r="I62" s="3" t="s">
        <v>468</v>
      </c>
      <c r="J62" s="5" t="s">
        <v>73</v>
      </c>
      <c r="K62" s="4" t="s">
        <v>469</v>
      </c>
      <c r="L62" s="3" t="s">
        <v>470</v>
      </c>
      <c r="M62" s="3" t="s">
        <v>471</v>
      </c>
      <c r="N62" s="5" t="s">
        <v>38</v>
      </c>
    </row>
    <row r="63" customFormat="false" ht="91.5" hidden="false" customHeight="true" outlineLevel="0" collapsed="false">
      <c r="A63" s="9" t="s">
        <v>472</v>
      </c>
      <c r="B63" s="3" t="s">
        <v>473</v>
      </c>
      <c r="C63" s="3" t="s">
        <v>474</v>
      </c>
      <c r="D63" s="10" t="s">
        <v>44</v>
      </c>
      <c r="E63" s="3" t="s">
        <v>475</v>
      </c>
      <c r="F63" s="10" t="s">
        <v>19</v>
      </c>
      <c r="G63" s="3" t="s">
        <v>476</v>
      </c>
      <c r="H63" s="10" t="s">
        <v>477</v>
      </c>
      <c r="I63" s="3" t="s">
        <v>478</v>
      </c>
      <c r="J63" s="11" t="s">
        <v>61</v>
      </c>
      <c r="K63" s="10" t="s">
        <v>62</v>
      </c>
      <c r="L63" s="3" t="s">
        <v>479</v>
      </c>
      <c r="M63" s="3" t="s">
        <v>480</v>
      </c>
      <c r="N63" s="11" t="s">
        <v>65</v>
      </c>
    </row>
    <row r="64" customFormat="false" ht="91.5" hidden="false" customHeight="true" outlineLevel="0" collapsed="false">
      <c r="A64" s="6" t="s">
        <v>481</v>
      </c>
      <c r="B64" s="3" t="s">
        <v>482</v>
      </c>
      <c r="C64" s="3" t="s">
        <v>474</v>
      </c>
      <c r="D64" s="7" t="s">
        <v>44</v>
      </c>
      <c r="E64" s="3" t="s">
        <v>44</v>
      </c>
      <c r="F64" s="7" t="s">
        <v>34</v>
      </c>
      <c r="G64" s="3" t="s">
        <v>483</v>
      </c>
      <c r="H64" s="7" t="s">
        <v>34</v>
      </c>
      <c r="I64" s="3" t="s">
        <v>44</v>
      </c>
      <c r="J64" s="8" t="s">
        <v>34</v>
      </c>
      <c r="K64" s="7" t="s">
        <v>44</v>
      </c>
      <c r="L64" s="3" t="s">
        <v>484</v>
      </c>
      <c r="M64" s="3" t="s">
        <v>485</v>
      </c>
      <c r="N64" s="8" t="s">
        <v>44</v>
      </c>
    </row>
    <row r="65" customFormat="false" ht="91.5" hidden="false" customHeight="true" outlineLevel="0" collapsed="false">
      <c r="A65" s="9" t="s">
        <v>486</v>
      </c>
      <c r="B65" s="3" t="s">
        <v>487</v>
      </c>
      <c r="C65" s="3" t="s">
        <v>474</v>
      </c>
      <c r="D65" s="10" t="s">
        <v>44</v>
      </c>
      <c r="E65" s="3" t="s">
        <v>488</v>
      </c>
      <c r="F65" s="10" t="s">
        <v>489</v>
      </c>
      <c r="G65" s="3" t="s">
        <v>490</v>
      </c>
      <c r="H65" s="10" t="s">
        <v>44</v>
      </c>
      <c r="I65" s="3" t="s">
        <v>44</v>
      </c>
      <c r="J65" s="11" t="s">
        <v>61</v>
      </c>
      <c r="K65" s="10" t="s">
        <v>24</v>
      </c>
      <c r="L65" s="3" t="s">
        <v>491</v>
      </c>
      <c r="M65" s="3" t="s">
        <v>492</v>
      </c>
      <c r="N65" s="11" t="s">
        <v>27</v>
      </c>
    </row>
    <row r="66" customFormat="false" ht="91.5" hidden="false" customHeight="true" outlineLevel="0" collapsed="false">
      <c r="A66" s="9" t="s">
        <v>493</v>
      </c>
      <c r="B66" s="3" t="s">
        <v>494</v>
      </c>
      <c r="C66" s="3" t="s">
        <v>474</v>
      </c>
      <c r="D66" s="10" t="s">
        <v>44</v>
      </c>
      <c r="E66" s="3" t="s">
        <v>44</v>
      </c>
      <c r="F66" s="10" t="s">
        <v>495</v>
      </c>
      <c r="G66" s="3" t="s">
        <v>496</v>
      </c>
      <c r="H66" s="10" t="s">
        <v>44</v>
      </c>
      <c r="I66" s="3" t="s">
        <v>44</v>
      </c>
      <c r="J66" s="11" t="s">
        <v>61</v>
      </c>
      <c r="K66" s="10" t="s">
        <v>24</v>
      </c>
      <c r="L66" s="3" t="s">
        <v>497</v>
      </c>
      <c r="M66" s="3" t="s">
        <v>498</v>
      </c>
      <c r="N66" s="11" t="s">
        <v>27</v>
      </c>
    </row>
    <row r="67" customFormat="false" ht="91.5" hidden="false" customHeight="true" outlineLevel="0" collapsed="false">
      <c r="A67" s="2" t="s">
        <v>499</v>
      </c>
      <c r="B67" s="3" t="s">
        <v>500</v>
      </c>
      <c r="C67" s="3" t="s">
        <v>474</v>
      </c>
      <c r="D67" s="4" t="s">
        <v>44</v>
      </c>
      <c r="E67" s="3" t="s">
        <v>44</v>
      </c>
      <c r="F67" s="4" t="s">
        <v>495</v>
      </c>
      <c r="G67" s="3" t="s">
        <v>501</v>
      </c>
      <c r="H67" s="4" t="s">
        <v>44</v>
      </c>
      <c r="I67" s="3" t="s">
        <v>44</v>
      </c>
      <c r="J67" s="5" t="s">
        <v>23</v>
      </c>
      <c r="K67" s="4" t="s">
        <v>24</v>
      </c>
      <c r="L67" s="3" t="s">
        <v>502</v>
      </c>
      <c r="M67" s="3" t="s">
        <v>503</v>
      </c>
      <c r="N67" s="5" t="s">
        <v>38</v>
      </c>
    </row>
    <row r="68" customFormat="false" ht="91.5" hidden="false" customHeight="true" outlineLevel="0" collapsed="false">
      <c r="A68" s="2" t="s">
        <v>504</v>
      </c>
      <c r="B68" s="3" t="s">
        <v>505</v>
      </c>
      <c r="C68" s="3" t="s">
        <v>474</v>
      </c>
      <c r="D68" s="4" t="s">
        <v>44</v>
      </c>
      <c r="E68" s="3" t="s">
        <v>506</v>
      </c>
      <c r="F68" s="4" t="s">
        <v>489</v>
      </c>
      <c r="G68" s="3" t="s">
        <v>507</v>
      </c>
      <c r="H68" s="4" t="s">
        <v>44</v>
      </c>
      <c r="I68" s="3" t="s">
        <v>44</v>
      </c>
      <c r="J68" s="5" t="s">
        <v>23</v>
      </c>
      <c r="K68" s="4" t="s">
        <v>24</v>
      </c>
      <c r="L68" s="3" t="s">
        <v>508</v>
      </c>
      <c r="M68" s="3" t="s">
        <v>509</v>
      </c>
      <c r="N68" s="5" t="s">
        <v>38</v>
      </c>
    </row>
    <row r="69" customFormat="false" ht="91.5" hidden="false" customHeight="true" outlineLevel="0" collapsed="false">
      <c r="A69" s="2" t="s">
        <v>510</v>
      </c>
      <c r="B69" s="3" t="s">
        <v>511</v>
      </c>
      <c r="C69" s="3" t="s">
        <v>474</v>
      </c>
      <c r="D69" s="4" t="s">
        <v>44</v>
      </c>
      <c r="E69" s="3" t="s">
        <v>44</v>
      </c>
      <c r="F69" s="4" t="s">
        <v>495</v>
      </c>
      <c r="G69" s="3" t="s">
        <v>512</v>
      </c>
      <c r="H69" s="4" t="s">
        <v>44</v>
      </c>
      <c r="I69" s="3" t="s">
        <v>44</v>
      </c>
      <c r="J69" s="5" t="s">
        <v>23</v>
      </c>
      <c r="K69" s="4" t="s">
        <v>24</v>
      </c>
      <c r="L69" s="3" t="s">
        <v>513</v>
      </c>
      <c r="M69" s="3" t="s">
        <v>514</v>
      </c>
      <c r="N69" s="5" t="s">
        <v>38</v>
      </c>
    </row>
    <row r="70" customFormat="false" ht="91.5" hidden="false" customHeight="true" outlineLevel="0" collapsed="false">
      <c r="A70" s="9" t="s">
        <v>515</v>
      </c>
      <c r="B70" s="3" t="s">
        <v>516</v>
      </c>
      <c r="C70" s="3" t="s">
        <v>474</v>
      </c>
      <c r="D70" s="10" t="s">
        <v>44</v>
      </c>
      <c r="E70" s="3" t="s">
        <v>44</v>
      </c>
      <c r="F70" s="10" t="s">
        <v>517</v>
      </c>
      <c r="G70" s="3" t="s">
        <v>518</v>
      </c>
      <c r="H70" s="10" t="s">
        <v>44</v>
      </c>
      <c r="I70" s="3" t="s">
        <v>44</v>
      </c>
      <c r="J70" s="11" t="s">
        <v>61</v>
      </c>
      <c r="K70" s="10" t="s">
        <v>62</v>
      </c>
      <c r="L70" s="3" t="s">
        <v>519</v>
      </c>
      <c r="M70" s="3" t="s">
        <v>520</v>
      </c>
      <c r="N70" s="11" t="s">
        <v>27</v>
      </c>
    </row>
    <row r="71" customFormat="false" ht="91.5" hidden="false" customHeight="true" outlineLevel="0" collapsed="false">
      <c r="A71" s="6" t="s">
        <v>521</v>
      </c>
      <c r="B71" s="3" t="s">
        <v>522</v>
      </c>
      <c r="C71" s="3" t="s">
        <v>474</v>
      </c>
      <c r="D71" s="7" t="s">
        <v>44</v>
      </c>
      <c r="E71" s="3" t="s">
        <v>44</v>
      </c>
      <c r="F71" s="7" t="s">
        <v>34</v>
      </c>
      <c r="G71" s="3" t="s">
        <v>523</v>
      </c>
      <c r="H71" s="7" t="s">
        <v>44</v>
      </c>
      <c r="I71" s="3" t="s">
        <v>44</v>
      </c>
      <c r="J71" s="8" t="s">
        <v>34</v>
      </c>
      <c r="K71" s="7" t="s">
        <v>44</v>
      </c>
      <c r="L71" s="3" t="s">
        <v>524</v>
      </c>
      <c r="M71" s="3" t="s">
        <v>525</v>
      </c>
      <c r="N71" s="8" t="s">
        <v>44</v>
      </c>
    </row>
    <row r="72" customFormat="false" ht="91.5" hidden="false" customHeight="true" outlineLevel="0" collapsed="false">
      <c r="A72" s="9" t="s">
        <v>526</v>
      </c>
      <c r="B72" s="3" t="s">
        <v>527</v>
      </c>
      <c r="C72" s="3" t="s">
        <v>474</v>
      </c>
      <c r="D72" s="10" t="s">
        <v>44</v>
      </c>
      <c r="E72" s="3" t="s">
        <v>528</v>
      </c>
      <c r="F72" s="10" t="s">
        <v>517</v>
      </c>
      <c r="G72" s="3" t="s">
        <v>529</v>
      </c>
      <c r="H72" s="10" t="s">
        <v>21</v>
      </c>
      <c r="I72" s="3" t="s">
        <v>530</v>
      </c>
      <c r="J72" s="11" t="s">
        <v>61</v>
      </c>
      <c r="K72" s="10" t="s">
        <v>89</v>
      </c>
      <c r="L72" s="3" t="s">
        <v>531</v>
      </c>
      <c r="M72" s="3" t="s">
        <v>532</v>
      </c>
      <c r="N72" s="11" t="s">
        <v>27</v>
      </c>
    </row>
    <row r="73" customFormat="false" ht="91.5" hidden="false" customHeight="true" outlineLevel="0" collapsed="false">
      <c r="A73" s="9" t="s">
        <v>533</v>
      </c>
      <c r="B73" s="3" t="s">
        <v>534</v>
      </c>
      <c r="C73" s="3" t="s">
        <v>474</v>
      </c>
      <c r="D73" s="10" t="s">
        <v>44</v>
      </c>
      <c r="E73" s="3" t="s">
        <v>535</v>
      </c>
      <c r="F73" s="10" t="s">
        <v>44</v>
      </c>
      <c r="G73" s="3" t="s">
        <v>44</v>
      </c>
      <c r="H73" s="10" t="s">
        <v>517</v>
      </c>
      <c r="I73" s="3" t="s">
        <v>536</v>
      </c>
      <c r="J73" s="11" t="s">
        <v>61</v>
      </c>
      <c r="K73" s="10" t="s">
        <v>62</v>
      </c>
      <c r="L73" s="3" t="s">
        <v>537</v>
      </c>
      <c r="M73" s="3" t="s">
        <v>538</v>
      </c>
      <c r="N73" s="11" t="s">
        <v>27</v>
      </c>
    </row>
    <row r="74" customFormat="false" ht="91.5" hidden="false" customHeight="true" outlineLevel="0" collapsed="false">
      <c r="A74" s="9" t="s">
        <v>539</v>
      </c>
      <c r="B74" s="3" t="s">
        <v>540</v>
      </c>
      <c r="C74" s="3" t="s">
        <v>474</v>
      </c>
      <c r="D74" s="10" t="s">
        <v>44</v>
      </c>
      <c r="E74" s="3" t="s">
        <v>541</v>
      </c>
      <c r="F74" s="10" t="s">
        <v>19</v>
      </c>
      <c r="G74" s="3" t="s">
        <v>542</v>
      </c>
      <c r="H74" s="10" t="s">
        <v>21</v>
      </c>
      <c r="I74" s="3" t="s">
        <v>44</v>
      </c>
      <c r="J74" s="11" t="s">
        <v>61</v>
      </c>
      <c r="K74" s="10" t="s">
        <v>62</v>
      </c>
      <c r="L74" s="3" t="s">
        <v>543</v>
      </c>
      <c r="M74" s="3" t="s">
        <v>544</v>
      </c>
      <c r="N74" s="11" t="s">
        <v>65</v>
      </c>
    </row>
    <row r="75" customFormat="false" ht="91.5" hidden="false" customHeight="true" outlineLevel="0" collapsed="false">
      <c r="A75" s="2" t="s">
        <v>545</v>
      </c>
      <c r="B75" s="3" t="s">
        <v>546</v>
      </c>
      <c r="C75" s="3" t="s">
        <v>474</v>
      </c>
      <c r="D75" s="4" t="s">
        <v>17</v>
      </c>
      <c r="E75" s="3" t="s">
        <v>547</v>
      </c>
      <c r="F75" s="4" t="s">
        <v>548</v>
      </c>
      <c r="G75" s="3" t="s">
        <v>549</v>
      </c>
      <c r="H75" s="4" t="s">
        <v>550</v>
      </c>
      <c r="I75" s="3" t="s">
        <v>551</v>
      </c>
      <c r="J75" s="5" t="s">
        <v>220</v>
      </c>
      <c r="K75" s="4" t="s">
        <v>24</v>
      </c>
      <c r="L75" s="3" t="s">
        <v>552</v>
      </c>
      <c r="M75" s="3" t="s">
        <v>553</v>
      </c>
      <c r="N75" s="5" t="s">
        <v>65</v>
      </c>
    </row>
    <row r="76" customFormat="false" ht="91.5" hidden="false" customHeight="true" outlineLevel="0" collapsed="false">
      <c r="A76" s="2" t="s">
        <v>554</v>
      </c>
      <c r="B76" s="3" t="s">
        <v>555</v>
      </c>
      <c r="C76" s="3" t="s">
        <v>474</v>
      </c>
      <c r="D76" s="4" t="s">
        <v>56</v>
      </c>
      <c r="E76" s="3" t="s">
        <v>556</v>
      </c>
      <c r="F76" s="4" t="s">
        <v>557</v>
      </c>
      <c r="G76" s="3" t="s">
        <v>558</v>
      </c>
      <c r="H76" s="4" t="s">
        <v>550</v>
      </c>
      <c r="I76" s="3" t="s">
        <v>559</v>
      </c>
      <c r="J76" s="5" t="s">
        <v>220</v>
      </c>
      <c r="K76" s="4" t="s">
        <v>24</v>
      </c>
      <c r="L76" s="3" t="s">
        <v>560</v>
      </c>
      <c r="M76" s="3" t="s">
        <v>561</v>
      </c>
      <c r="N76" s="5" t="s">
        <v>27</v>
      </c>
    </row>
    <row r="77" customFormat="false" ht="91.5" hidden="false" customHeight="true" outlineLevel="0" collapsed="false">
      <c r="A77" s="2" t="s">
        <v>562</v>
      </c>
      <c r="B77" s="3" t="s">
        <v>563</v>
      </c>
      <c r="C77" s="3" t="s">
        <v>474</v>
      </c>
      <c r="D77" s="4" t="s">
        <v>44</v>
      </c>
      <c r="E77" s="3" t="s">
        <v>44</v>
      </c>
      <c r="F77" s="4" t="s">
        <v>564</v>
      </c>
      <c r="G77" s="3" t="s">
        <v>565</v>
      </c>
      <c r="H77" s="4" t="s">
        <v>566</v>
      </c>
      <c r="I77" s="3" t="s">
        <v>567</v>
      </c>
      <c r="J77" s="5" t="s">
        <v>260</v>
      </c>
      <c r="K77" s="4" t="s">
        <v>469</v>
      </c>
      <c r="L77" s="3" t="s">
        <v>568</v>
      </c>
      <c r="M77" s="3" t="s">
        <v>569</v>
      </c>
      <c r="N77" s="5" t="s">
        <v>107</v>
      </c>
    </row>
    <row r="78" customFormat="false" ht="91.5" hidden="false" customHeight="true" outlineLevel="0" collapsed="false">
      <c r="A78" s="9" t="s">
        <v>570</v>
      </c>
      <c r="B78" s="3" t="s">
        <v>571</v>
      </c>
      <c r="C78" s="3" t="s">
        <v>474</v>
      </c>
      <c r="D78" s="10" t="s">
        <v>517</v>
      </c>
      <c r="E78" s="3" t="s">
        <v>572</v>
      </c>
      <c r="F78" s="10" t="s">
        <v>44</v>
      </c>
      <c r="G78" s="3" t="s">
        <v>44</v>
      </c>
      <c r="H78" s="10" t="s">
        <v>44</v>
      </c>
      <c r="I78" s="3" t="s">
        <v>44</v>
      </c>
      <c r="J78" s="11" t="s">
        <v>341</v>
      </c>
      <c r="K78" s="10" t="s">
        <v>24</v>
      </c>
      <c r="L78" s="3" t="s">
        <v>573</v>
      </c>
      <c r="M78" s="3" t="s">
        <v>574</v>
      </c>
      <c r="N78" s="11" t="s">
        <v>27</v>
      </c>
    </row>
    <row r="79" customFormat="false" ht="91.5" hidden="false" customHeight="true" outlineLevel="0" collapsed="false">
      <c r="A79" s="9" t="s">
        <v>575</v>
      </c>
      <c r="B79" s="3" t="s">
        <v>576</v>
      </c>
      <c r="C79" s="3" t="s">
        <v>474</v>
      </c>
      <c r="D79" s="10" t="s">
        <v>517</v>
      </c>
      <c r="E79" s="3" t="s">
        <v>577</v>
      </c>
      <c r="F79" s="10" t="s">
        <v>489</v>
      </c>
      <c r="G79" s="3" t="s">
        <v>578</v>
      </c>
      <c r="H79" s="10" t="s">
        <v>557</v>
      </c>
      <c r="I79" s="3" t="s">
        <v>579</v>
      </c>
      <c r="J79" s="11" t="s">
        <v>61</v>
      </c>
      <c r="K79" s="10" t="s">
        <v>24</v>
      </c>
      <c r="L79" s="3" t="s">
        <v>580</v>
      </c>
      <c r="M79" s="3" t="s">
        <v>581</v>
      </c>
      <c r="N79" s="11" t="s">
        <v>65</v>
      </c>
    </row>
    <row r="80" customFormat="false" ht="91.5" hidden="false" customHeight="true" outlineLevel="0" collapsed="false">
      <c r="A80" s="2" t="s">
        <v>582</v>
      </c>
      <c r="B80" s="3" t="s">
        <v>583</v>
      </c>
      <c r="C80" s="3" t="s">
        <v>584</v>
      </c>
      <c r="D80" s="4" t="s">
        <v>30</v>
      </c>
      <c r="E80" s="3" t="s">
        <v>585</v>
      </c>
      <c r="F80" s="4" t="s">
        <v>103</v>
      </c>
      <c r="G80" s="3" t="s">
        <v>44</v>
      </c>
      <c r="H80" s="4" t="s">
        <v>103</v>
      </c>
      <c r="I80" s="3" t="s">
        <v>44</v>
      </c>
      <c r="J80" s="5" t="s">
        <v>73</v>
      </c>
      <c r="K80" s="4" t="s">
        <v>35</v>
      </c>
      <c r="L80" s="3" t="s">
        <v>586</v>
      </c>
      <c r="M80" s="3" t="s">
        <v>587</v>
      </c>
      <c r="N80" s="5" t="s">
        <v>38</v>
      </c>
    </row>
    <row r="81" customFormat="false" ht="91.5" hidden="false" customHeight="true" outlineLevel="0" collapsed="false">
      <c r="A81" s="2" t="s">
        <v>588</v>
      </c>
      <c r="B81" s="3" t="s">
        <v>589</v>
      </c>
      <c r="C81" s="3" t="s">
        <v>584</v>
      </c>
      <c r="D81" s="4" t="s">
        <v>30</v>
      </c>
      <c r="E81" s="3" t="s">
        <v>590</v>
      </c>
      <c r="F81" s="4" t="s">
        <v>103</v>
      </c>
      <c r="G81" s="3" t="s">
        <v>44</v>
      </c>
      <c r="H81" s="4" t="s">
        <v>103</v>
      </c>
      <c r="I81" s="3" t="s">
        <v>44</v>
      </c>
      <c r="J81" s="5" t="s">
        <v>73</v>
      </c>
      <c r="K81" s="4" t="s">
        <v>35</v>
      </c>
      <c r="L81" s="3" t="s">
        <v>591</v>
      </c>
      <c r="M81" s="3" t="s">
        <v>592</v>
      </c>
      <c r="N81" s="5" t="s">
        <v>27</v>
      </c>
    </row>
    <row r="82" customFormat="false" ht="91.5" hidden="false" customHeight="true" outlineLevel="0" collapsed="false">
      <c r="A82" s="2" t="s">
        <v>593</v>
      </c>
      <c r="B82" s="3" t="s">
        <v>594</v>
      </c>
      <c r="C82" s="3" t="s">
        <v>584</v>
      </c>
      <c r="D82" s="4" t="s">
        <v>30</v>
      </c>
      <c r="E82" s="3" t="s">
        <v>595</v>
      </c>
      <c r="F82" s="4" t="s">
        <v>103</v>
      </c>
      <c r="G82" s="3" t="s">
        <v>44</v>
      </c>
      <c r="H82" s="4" t="s">
        <v>103</v>
      </c>
      <c r="I82" s="3" t="s">
        <v>44</v>
      </c>
      <c r="J82" s="5" t="s">
        <v>73</v>
      </c>
      <c r="K82" s="4" t="s">
        <v>35</v>
      </c>
      <c r="L82" s="3" t="s">
        <v>596</v>
      </c>
      <c r="M82" s="3" t="s">
        <v>597</v>
      </c>
      <c r="N82" s="5" t="s">
        <v>38</v>
      </c>
    </row>
    <row r="83" customFormat="false" ht="91.5" hidden="false" customHeight="true" outlineLevel="0" collapsed="false">
      <c r="A83" s="2" t="s">
        <v>598</v>
      </c>
      <c r="B83" s="3" t="s">
        <v>599</v>
      </c>
      <c r="C83" s="3" t="s">
        <v>584</v>
      </c>
      <c r="D83" s="4" t="s">
        <v>30</v>
      </c>
      <c r="E83" s="3" t="s">
        <v>600</v>
      </c>
      <c r="F83" s="4" t="s">
        <v>103</v>
      </c>
      <c r="G83" s="3" t="s">
        <v>44</v>
      </c>
      <c r="H83" s="4" t="s">
        <v>103</v>
      </c>
      <c r="I83" s="3" t="s">
        <v>44</v>
      </c>
      <c r="J83" s="5" t="s">
        <v>73</v>
      </c>
      <c r="K83" s="4" t="s">
        <v>35</v>
      </c>
      <c r="L83" s="3" t="s">
        <v>601</v>
      </c>
      <c r="M83" s="3" t="s">
        <v>597</v>
      </c>
      <c r="N83" s="5" t="s">
        <v>38</v>
      </c>
    </row>
    <row r="84" customFormat="false" ht="91.5" hidden="false" customHeight="true" outlineLevel="0" collapsed="false">
      <c r="A84" s="2" t="s">
        <v>602</v>
      </c>
      <c r="B84" s="3" t="s">
        <v>603</v>
      </c>
      <c r="C84" s="3" t="s">
        <v>584</v>
      </c>
      <c r="D84" s="4" t="s">
        <v>30</v>
      </c>
      <c r="E84" s="3" t="s">
        <v>604</v>
      </c>
      <c r="F84" s="4" t="s">
        <v>69</v>
      </c>
      <c r="G84" s="3" t="s">
        <v>605</v>
      </c>
      <c r="H84" s="4" t="s">
        <v>103</v>
      </c>
      <c r="I84" s="3" t="s">
        <v>44</v>
      </c>
      <c r="J84" s="5" t="s">
        <v>73</v>
      </c>
      <c r="K84" s="4" t="s">
        <v>35</v>
      </c>
      <c r="L84" s="3" t="s">
        <v>606</v>
      </c>
      <c r="M84" s="3" t="s">
        <v>607</v>
      </c>
      <c r="N84" s="5" t="s">
        <v>38</v>
      </c>
    </row>
    <row r="85" customFormat="false" ht="91.5" hidden="false" customHeight="true" outlineLevel="0" collapsed="false">
      <c r="A85" s="2" t="s">
        <v>608</v>
      </c>
      <c r="B85" s="3" t="s">
        <v>609</v>
      </c>
      <c r="C85" s="3" t="s">
        <v>584</v>
      </c>
      <c r="D85" s="4" t="s">
        <v>30</v>
      </c>
      <c r="E85" s="3" t="s">
        <v>610</v>
      </c>
      <c r="F85" s="4" t="s">
        <v>103</v>
      </c>
      <c r="G85" s="3" t="s">
        <v>44</v>
      </c>
      <c r="H85" s="4" t="s">
        <v>103</v>
      </c>
      <c r="I85" s="3" t="s">
        <v>44</v>
      </c>
      <c r="J85" s="5" t="s">
        <v>73</v>
      </c>
      <c r="K85" s="4" t="s">
        <v>35</v>
      </c>
      <c r="L85" s="3" t="s">
        <v>611</v>
      </c>
      <c r="M85" s="3" t="s">
        <v>612</v>
      </c>
      <c r="N85" s="5" t="s">
        <v>38</v>
      </c>
    </row>
    <row r="86" customFormat="false" ht="91.5" hidden="false" customHeight="true" outlineLevel="0" collapsed="false">
      <c r="A86" s="2" t="s">
        <v>613</v>
      </c>
      <c r="B86" s="3" t="s">
        <v>614</v>
      </c>
      <c r="C86" s="3" t="s">
        <v>584</v>
      </c>
      <c r="D86" s="4" t="s">
        <v>30</v>
      </c>
      <c r="E86" s="3" t="s">
        <v>615</v>
      </c>
      <c r="F86" s="4" t="s">
        <v>103</v>
      </c>
      <c r="G86" s="3" t="s">
        <v>44</v>
      </c>
      <c r="H86" s="4" t="s">
        <v>103</v>
      </c>
      <c r="I86" s="3" t="s">
        <v>44</v>
      </c>
      <c r="J86" s="5" t="s">
        <v>73</v>
      </c>
      <c r="K86" s="4" t="s">
        <v>35</v>
      </c>
      <c r="L86" s="3" t="s">
        <v>616</v>
      </c>
      <c r="M86" s="3" t="s">
        <v>617</v>
      </c>
      <c r="N86" s="5" t="s">
        <v>38</v>
      </c>
    </row>
    <row r="87" customFormat="false" ht="91.5" hidden="false" customHeight="true" outlineLevel="0" collapsed="false">
      <c r="A87" s="2" t="s">
        <v>618</v>
      </c>
      <c r="B87" s="3" t="s">
        <v>619</v>
      </c>
      <c r="C87" s="3" t="s">
        <v>584</v>
      </c>
      <c r="D87" s="4" t="s">
        <v>30</v>
      </c>
      <c r="E87" s="3" t="s">
        <v>620</v>
      </c>
      <c r="F87" s="4" t="s">
        <v>69</v>
      </c>
      <c r="G87" s="3" t="s">
        <v>621</v>
      </c>
      <c r="H87" s="4" t="s">
        <v>103</v>
      </c>
      <c r="I87" s="3" t="s">
        <v>44</v>
      </c>
      <c r="J87" s="5" t="s">
        <v>73</v>
      </c>
      <c r="K87" s="4" t="s">
        <v>35</v>
      </c>
      <c r="L87" s="3" t="s">
        <v>622</v>
      </c>
      <c r="M87" s="3" t="s">
        <v>597</v>
      </c>
      <c r="N87" s="5" t="s">
        <v>107</v>
      </c>
    </row>
    <row r="88" customFormat="false" ht="91.5" hidden="false" customHeight="true" outlineLevel="0" collapsed="false">
      <c r="A88" s="2" t="s">
        <v>623</v>
      </c>
      <c r="B88" s="3" t="s">
        <v>624</v>
      </c>
      <c r="C88" s="3" t="s">
        <v>584</v>
      </c>
      <c r="D88" s="4" t="s">
        <v>30</v>
      </c>
      <c r="E88" s="3" t="s">
        <v>625</v>
      </c>
      <c r="F88" s="4" t="s">
        <v>69</v>
      </c>
      <c r="G88" s="3" t="s">
        <v>626</v>
      </c>
      <c r="H88" s="4" t="s">
        <v>103</v>
      </c>
      <c r="I88" s="3" t="s">
        <v>44</v>
      </c>
      <c r="J88" s="5" t="s">
        <v>23</v>
      </c>
      <c r="K88" s="4" t="s">
        <v>24</v>
      </c>
      <c r="L88" s="3" t="s">
        <v>627</v>
      </c>
      <c r="M88" s="3" t="s">
        <v>628</v>
      </c>
      <c r="N88" s="5" t="s">
        <v>38</v>
      </c>
    </row>
    <row r="89" customFormat="false" ht="91.5" hidden="false" customHeight="true" outlineLevel="0" collapsed="false">
      <c r="A89" s="9" t="s">
        <v>629</v>
      </c>
      <c r="B89" s="3" t="s">
        <v>630</v>
      </c>
      <c r="C89" s="3" t="s">
        <v>584</v>
      </c>
      <c r="D89" s="10" t="s">
        <v>30</v>
      </c>
      <c r="E89" s="3" t="s">
        <v>631</v>
      </c>
      <c r="F89" s="10" t="s">
        <v>632</v>
      </c>
      <c r="G89" s="3" t="s">
        <v>633</v>
      </c>
      <c r="H89" s="10" t="s">
        <v>44</v>
      </c>
      <c r="I89" s="3" t="s">
        <v>44</v>
      </c>
      <c r="J89" s="11" t="s">
        <v>341</v>
      </c>
      <c r="K89" s="10" t="s">
        <v>24</v>
      </c>
      <c r="L89" s="3" t="s">
        <v>634</v>
      </c>
      <c r="M89" s="3" t="s">
        <v>635</v>
      </c>
      <c r="N89" s="11" t="s">
        <v>65</v>
      </c>
    </row>
    <row r="90" customFormat="false" ht="91.5" hidden="false" customHeight="true" outlineLevel="0" collapsed="false">
      <c r="A90" s="2" t="s">
        <v>636</v>
      </c>
      <c r="B90" s="3" t="s">
        <v>637</v>
      </c>
      <c r="C90" s="3" t="s">
        <v>584</v>
      </c>
      <c r="D90" s="4" t="s">
        <v>30</v>
      </c>
      <c r="E90" s="3" t="s">
        <v>638</v>
      </c>
      <c r="F90" s="4" t="s">
        <v>103</v>
      </c>
      <c r="G90" s="3" t="s">
        <v>44</v>
      </c>
      <c r="H90" s="4" t="s">
        <v>103</v>
      </c>
      <c r="I90" s="3" t="s">
        <v>44</v>
      </c>
      <c r="J90" s="5" t="s">
        <v>73</v>
      </c>
      <c r="K90" s="4" t="s">
        <v>35</v>
      </c>
      <c r="L90" s="3" t="s">
        <v>639</v>
      </c>
      <c r="M90" s="3" t="s">
        <v>640</v>
      </c>
      <c r="N90" s="5" t="s">
        <v>27</v>
      </c>
    </row>
    <row r="91" customFormat="false" ht="91.5" hidden="false" customHeight="true" outlineLevel="0" collapsed="false">
      <c r="A91" s="2" t="s">
        <v>641</v>
      </c>
      <c r="B91" s="3" t="s">
        <v>642</v>
      </c>
      <c r="C91" s="3" t="s">
        <v>584</v>
      </c>
      <c r="D91" s="4" t="s">
        <v>30</v>
      </c>
      <c r="E91" s="3" t="s">
        <v>643</v>
      </c>
      <c r="F91" s="4" t="s">
        <v>69</v>
      </c>
      <c r="G91" s="3" t="s">
        <v>644</v>
      </c>
      <c r="H91" s="4" t="s">
        <v>103</v>
      </c>
      <c r="I91" s="3" t="s">
        <v>44</v>
      </c>
      <c r="J91" s="5" t="s">
        <v>23</v>
      </c>
      <c r="K91" s="4" t="s">
        <v>24</v>
      </c>
      <c r="L91" s="3" t="s">
        <v>645</v>
      </c>
      <c r="M91" s="3" t="s">
        <v>646</v>
      </c>
      <c r="N91" s="5" t="s">
        <v>38</v>
      </c>
    </row>
    <row r="92" customFormat="false" ht="91.5" hidden="false" customHeight="true" outlineLevel="0" collapsed="false">
      <c r="A92" s="6" t="s">
        <v>647</v>
      </c>
      <c r="B92" s="3" t="s">
        <v>648</v>
      </c>
      <c r="C92" s="3" t="s">
        <v>584</v>
      </c>
      <c r="D92" s="7" t="s">
        <v>30</v>
      </c>
      <c r="E92" s="3" t="s">
        <v>649</v>
      </c>
      <c r="F92" s="7" t="s">
        <v>103</v>
      </c>
      <c r="G92" s="3" t="s">
        <v>44</v>
      </c>
      <c r="H92" s="7" t="s">
        <v>103</v>
      </c>
      <c r="I92" s="3" t="s">
        <v>44</v>
      </c>
      <c r="J92" s="8" t="s">
        <v>34</v>
      </c>
      <c r="K92" s="7" t="s">
        <v>44</v>
      </c>
      <c r="L92" s="3" t="s">
        <v>650</v>
      </c>
      <c r="M92" s="3" t="s">
        <v>106</v>
      </c>
      <c r="N92" s="8" t="s">
        <v>107</v>
      </c>
    </row>
    <row r="93" customFormat="false" ht="91.5" hidden="false" customHeight="true" outlineLevel="0" collapsed="false">
      <c r="A93" s="6" t="s">
        <v>651</v>
      </c>
      <c r="B93" s="3" t="s">
        <v>652</v>
      </c>
      <c r="C93" s="3" t="s">
        <v>584</v>
      </c>
      <c r="D93" s="7" t="s">
        <v>30</v>
      </c>
      <c r="E93" s="3" t="s">
        <v>653</v>
      </c>
      <c r="F93" s="7" t="s">
        <v>103</v>
      </c>
      <c r="G93" s="3" t="s">
        <v>44</v>
      </c>
      <c r="H93" s="7" t="s">
        <v>103</v>
      </c>
      <c r="I93" s="3" t="s">
        <v>44</v>
      </c>
      <c r="J93" s="8" t="s">
        <v>34</v>
      </c>
      <c r="K93" s="7" t="s">
        <v>44</v>
      </c>
      <c r="L93" s="3" t="s">
        <v>654</v>
      </c>
      <c r="M93" s="3" t="s">
        <v>106</v>
      </c>
      <c r="N93" s="8" t="s">
        <v>107</v>
      </c>
    </row>
  </sheetData>
  <autoFilter ref="A1:N9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3" min="3" style="0" width="62"/>
  </cols>
  <sheetData>
    <row r="1" customFormat="false" ht="17.35" hidden="false" customHeight="false" outlineLevel="0" collapsed="false">
      <c r="A1" s="15" t="s">
        <v>655</v>
      </c>
    </row>
    <row r="2" customFormat="false" ht="15" hidden="false" customHeight="false" outlineLevel="0" collapsed="false">
      <c r="A2" s="16" t="s">
        <v>656</v>
      </c>
    </row>
    <row r="4" customFormat="false" ht="15" hidden="false" customHeight="false" outlineLevel="0" collapsed="false">
      <c r="A4" s="17" t="s">
        <v>9</v>
      </c>
      <c r="B4" s="17" t="s">
        <v>657</v>
      </c>
      <c r="C4" s="17" t="s">
        <v>658</v>
      </c>
    </row>
    <row r="5" customFormat="false" ht="15" hidden="false" customHeight="false" outlineLevel="0" collapsed="false">
      <c r="A5" s="16" t="s">
        <v>61</v>
      </c>
      <c r="B5" s="16" t="n">
        <f aca="false">COUNTIF('Özellik envanteri'!$J$2:$J$93,A5)</f>
        <v>25</v>
      </c>
      <c r="C5" s="16" t="s">
        <v>659</v>
      </c>
    </row>
    <row r="6" customFormat="false" ht="15" hidden="false" customHeight="false" outlineLevel="0" collapsed="false">
      <c r="A6" s="16" t="s">
        <v>341</v>
      </c>
      <c r="B6" s="16" t="n">
        <f aca="false">COUNTIF('Özellik envanteri'!$J$2:$J$93,A6)</f>
        <v>3</v>
      </c>
      <c r="C6" s="16" t="s">
        <v>660</v>
      </c>
    </row>
    <row r="7" customFormat="false" ht="15" hidden="false" customHeight="false" outlineLevel="0" collapsed="false">
      <c r="A7" s="16" t="s">
        <v>73</v>
      </c>
      <c r="B7" s="16" t="n">
        <f aca="false">COUNTIF('Özellik envanteri'!$J$2:$J$93,A7)</f>
        <v>17</v>
      </c>
      <c r="C7" s="16" t="s">
        <v>661</v>
      </c>
    </row>
    <row r="8" customFormat="false" ht="15" hidden="false" customHeight="false" outlineLevel="0" collapsed="false">
      <c r="A8" s="16" t="s">
        <v>260</v>
      </c>
      <c r="B8" s="16" t="n">
        <f aca="false">COUNTIF('Özellik envanteri'!$J$2:$J$93,A8)</f>
        <v>4</v>
      </c>
      <c r="C8" s="16" t="s">
        <v>662</v>
      </c>
    </row>
    <row r="9" customFormat="false" ht="15" hidden="false" customHeight="false" outlineLevel="0" collapsed="false">
      <c r="A9" s="16" t="s">
        <v>23</v>
      </c>
      <c r="B9" s="16" t="n">
        <f aca="false">COUNTIF('Özellik envanteri'!$J$2:$J$93,A9)</f>
        <v>8</v>
      </c>
      <c r="C9" s="16" t="s">
        <v>663</v>
      </c>
    </row>
    <row r="10" customFormat="false" ht="15" hidden="false" customHeight="false" outlineLevel="0" collapsed="false">
      <c r="A10" s="16" t="s">
        <v>220</v>
      </c>
      <c r="B10" s="16" t="n">
        <f aca="false">COUNTIF('Özellik envanteri'!$J$2:$J$93,A10)</f>
        <v>7</v>
      </c>
      <c r="C10" s="16" t="s">
        <v>664</v>
      </c>
    </row>
    <row r="11" customFormat="false" ht="15" hidden="false" customHeight="false" outlineLevel="0" collapsed="false">
      <c r="A11" s="16" t="s">
        <v>34</v>
      </c>
      <c r="B11" s="16" t="n">
        <f aca="false">COUNTIF('Özellik envanteri'!$J$2:$J$93,A11)</f>
        <v>27</v>
      </c>
      <c r="C11" s="16" t="s">
        <v>665</v>
      </c>
    </row>
    <row r="12" customFormat="false" ht="15" hidden="false" customHeight="false" outlineLevel="0" collapsed="false">
      <c r="A12" s="16" t="s">
        <v>460</v>
      </c>
      <c r="B12" s="16" t="n">
        <f aca="false">COUNTIF('Özellik envanteri'!$J$2:$J$93,A12)</f>
        <v>1</v>
      </c>
      <c r="C12" s="16" t="s">
        <v>666</v>
      </c>
    </row>
    <row r="13" customFormat="false" ht="15" hidden="false" customHeight="false" outlineLevel="0" collapsed="false">
      <c r="A13" s="17" t="s">
        <v>667</v>
      </c>
      <c r="B13" s="17" t="n">
        <f aca="false">COUNTA('Özellik envanteri'!$J$2:$J$93)</f>
        <v>92</v>
      </c>
    </row>
    <row r="15" customFormat="false" ht="15" hidden="false" customHeight="false" outlineLevel="0" collapsed="false">
      <c r="A15" s="16" t="s">
        <v>668</v>
      </c>
      <c r="B15" s="16" t="n">
        <f aca="false">B13-B11-B12</f>
        <v>64</v>
      </c>
    </row>
    <row r="16" customFormat="false" ht="15" hidden="false" customHeight="false" outlineLevel="0" collapsed="false">
      <c r="A16" s="17" t="s">
        <v>13</v>
      </c>
      <c r="B16" s="17" t="s">
        <v>657</v>
      </c>
    </row>
    <row r="17" customFormat="false" ht="15" hidden="false" customHeight="false" outlineLevel="0" collapsed="false">
      <c r="A17" s="16" t="s">
        <v>65</v>
      </c>
      <c r="B17" s="16" t="n">
        <f aca="false">COUNTIF('Özellik envanteri'!$N$2:$N$93,A17)</f>
        <v>26</v>
      </c>
    </row>
    <row r="18" customFormat="false" ht="15" hidden="false" customHeight="false" outlineLevel="0" collapsed="false">
      <c r="A18" s="16" t="s">
        <v>27</v>
      </c>
      <c r="B18" s="16" t="n">
        <f aca="false">COUNTIF('Özellik envanteri'!$N$2:$N$93,A18)</f>
        <v>19</v>
      </c>
    </row>
    <row r="19" customFormat="false" ht="15" hidden="false" customHeight="false" outlineLevel="0" collapsed="false">
      <c r="A19" s="16" t="s">
        <v>38</v>
      </c>
      <c r="B19" s="16" t="n">
        <f aca="false">COUNTIF('Özellik envanteri'!$N$2:$N$93,A19)</f>
        <v>32</v>
      </c>
    </row>
    <row r="20" customFormat="false" ht="15" hidden="false" customHeight="false" outlineLevel="0" collapsed="false">
      <c r="A20" s="16" t="s">
        <v>107</v>
      </c>
      <c r="B20" s="16" t="n">
        <f aca="false">COUNTIF('Özellik envanteri'!$N$2:$N$93,A20)</f>
        <v>12</v>
      </c>
    </row>
    <row r="22" customFormat="false" ht="15" hidden="false" customHeight="false" outlineLevel="0" collapsed="false">
      <c r="A22" s="17" t="s">
        <v>2</v>
      </c>
      <c r="B22" s="17" t="s">
        <v>669</v>
      </c>
      <c r="C22" s="17" t="s">
        <v>670</v>
      </c>
    </row>
    <row r="23" customFormat="false" ht="15" hidden="false" customHeight="false" outlineLevel="0" collapsed="false">
      <c r="A23" s="16" t="s">
        <v>16</v>
      </c>
      <c r="B23" s="16" t="n">
        <f aca="false">COUNTIF('Özellik envanteri'!$C$2:$C$93,A23)</f>
        <v>12</v>
      </c>
      <c r="C23" s="16" t="n">
        <f aca="false">COUNTIFS('Özellik envanteri'!$C$2:$C$93,A23,'Özellik envanteri'!$J$2:$J$93,"TİP A")</f>
        <v>6</v>
      </c>
    </row>
    <row r="24" customFormat="false" ht="15" hidden="false" customHeight="false" outlineLevel="0" collapsed="false">
      <c r="A24" s="16" t="s">
        <v>126</v>
      </c>
      <c r="B24" s="16" t="n">
        <f aca="false">COUNTIF('Özellik envanteri'!$C$2:$C$93,A24)</f>
        <v>6</v>
      </c>
      <c r="C24" s="16" t="n">
        <f aca="false">COUNTIFS('Özellik envanteri'!$C$2:$C$93,A24,'Özellik envanteri'!$J$2:$J$93,"TİP A")</f>
        <v>2</v>
      </c>
    </row>
    <row r="25" customFormat="false" ht="15" hidden="false" customHeight="false" outlineLevel="0" collapsed="false">
      <c r="A25" s="16" t="s">
        <v>171</v>
      </c>
      <c r="B25" s="16" t="n">
        <f aca="false">COUNTIF('Özellik envanteri'!$C$2:$C$93,A25)</f>
        <v>10</v>
      </c>
      <c r="C25" s="16" t="n">
        <f aca="false">COUNTIFS('Özellik envanteri'!$C$2:$C$93,A25,'Özellik envanteri'!$J$2:$J$93,"TİP A")</f>
        <v>1</v>
      </c>
    </row>
    <row r="26" customFormat="false" ht="15" hidden="false" customHeight="false" outlineLevel="0" collapsed="false">
      <c r="A26" s="16" t="s">
        <v>237</v>
      </c>
      <c r="B26" s="16" t="n">
        <f aca="false">COUNTIF('Özellik envanteri'!$C$2:$C$93,A26)</f>
        <v>4</v>
      </c>
      <c r="C26" s="16" t="n">
        <f aca="false">COUNTIFS('Özellik envanteri'!$C$2:$C$93,A26,'Özellik envanteri'!$J$2:$J$93,"TİP A")</f>
        <v>1</v>
      </c>
    </row>
    <row r="27" customFormat="false" ht="15" hidden="false" customHeight="false" outlineLevel="0" collapsed="false">
      <c r="A27" s="16" t="s">
        <v>266</v>
      </c>
      <c r="B27" s="16" t="n">
        <f aca="false">COUNTIF('Özellik envanteri'!$C$2:$C$93,A27)</f>
        <v>6</v>
      </c>
      <c r="C27" s="16" t="n">
        <f aca="false">COUNTIFS('Özellik envanteri'!$C$2:$C$93,A27,'Özellik envanteri'!$J$2:$J$93,"TİP A")</f>
        <v>1</v>
      </c>
    </row>
    <row r="28" customFormat="false" ht="15" hidden="false" customHeight="false" outlineLevel="0" collapsed="false">
      <c r="A28" s="16" t="s">
        <v>307</v>
      </c>
      <c r="B28" s="16" t="n">
        <f aca="false">COUNTIF('Özellik envanteri'!$C$2:$C$93,A28)</f>
        <v>3</v>
      </c>
      <c r="C28" s="16" t="n">
        <f aca="false">COUNTIFS('Özellik envanteri'!$C$2:$C$93,A28,'Özellik envanteri'!$J$2:$J$93,"TİP A")</f>
        <v>2</v>
      </c>
    </row>
    <row r="29" customFormat="false" ht="15" hidden="false" customHeight="false" outlineLevel="0" collapsed="false">
      <c r="A29" s="16" t="s">
        <v>329</v>
      </c>
      <c r="B29" s="16" t="n">
        <f aca="false">COUNTIF('Özellik envanteri'!$C$2:$C$93,A29)</f>
        <v>6</v>
      </c>
      <c r="C29" s="16" t="n">
        <f aca="false">COUNTIFS('Özellik envanteri'!$C$2:$C$93,A29,'Özellik envanteri'!$J$2:$J$93,"TİP A")</f>
        <v>4</v>
      </c>
    </row>
    <row r="30" customFormat="false" ht="15" hidden="false" customHeight="false" outlineLevel="0" collapsed="false">
      <c r="A30" s="16" t="s">
        <v>373</v>
      </c>
      <c r="B30" s="16" t="n">
        <f aca="false">COUNTIF('Özellik envanteri'!$C$2:$C$93,A30)</f>
        <v>3</v>
      </c>
      <c r="C30" s="16" t="n">
        <f aca="false">COUNTIFS('Özellik envanteri'!$C$2:$C$93,A30,'Özellik envanteri'!$J$2:$J$93,"TİP A")</f>
        <v>0</v>
      </c>
    </row>
    <row r="31" customFormat="false" ht="15" hidden="false" customHeight="false" outlineLevel="0" collapsed="false">
      <c r="A31" s="16" t="s">
        <v>396</v>
      </c>
      <c r="B31" s="16" t="n">
        <f aca="false">COUNTIF('Özellik envanteri'!$C$2:$C$93,A31)</f>
        <v>3</v>
      </c>
      <c r="C31" s="16" t="n">
        <f aca="false">COUNTIFS('Özellik envanteri'!$C$2:$C$93,A31,'Özellik envanteri'!$J$2:$J$93,"TİP A")</f>
        <v>0</v>
      </c>
    </row>
    <row r="32" customFormat="false" ht="15" hidden="false" customHeight="false" outlineLevel="0" collapsed="false">
      <c r="A32" s="16" t="s">
        <v>422</v>
      </c>
      <c r="B32" s="16" t="n">
        <f aca="false">COUNTIF('Özellik envanteri'!$C$2:$C$93,A32)</f>
        <v>8</v>
      </c>
      <c r="C32" s="16" t="n">
        <f aca="false">COUNTIFS('Özellik envanteri'!$C$2:$C$93,A32,'Özellik envanteri'!$J$2:$J$93,"TİP A")</f>
        <v>0</v>
      </c>
    </row>
    <row r="33" customFormat="false" ht="15" hidden="false" customHeight="false" outlineLevel="0" collapsed="false">
      <c r="A33" s="16" t="s">
        <v>474</v>
      </c>
      <c r="B33" s="16" t="n">
        <f aca="false">COUNTIF('Özellik envanteri'!$C$2:$C$93,A33)</f>
        <v>17</v>
      </c>
      <c r="C33" s="16" t="n">
        <f aca="false">COUNTIFS('Özellik envanteri'!$C$2:$C$93,A33,'Özellik envanteri'!$J$2:$J$93,"TİP A")</f>
        <v>8</v>
      </c>
    </row>
    <row r="34" customFormat="false" ht="15" hidden="false" customHeight="false" outlineLevel="0" collapsed="false">
      <c r="A34" s="16" t="s">
        <v>584</v>
      </c>
      <c r="B34" s="16" t="n">
        <f aca="false">COUNTIF('Özellik envanteri'!$C$2:$C$93,A34)</f>
        <v>14</v>
      </c>
      <c r="C34" s="16" t="n">
        <f aca="false">COUNTIFS('Özellik envanteri'!$C$2:$C$93,A34,'Özellik envanteri'!$J$2:$J$93,"TİP A")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8" t="s">
        <v>671</v>
      </c>
    </row>
    <row r="2" customFormat="false" ht="15" hidden="false" customHeight="false" outlineLevel="0" collapsed="false">
      <c r="A2" s="16" t="s">
        <v>672</v>
      </c>
    </row>
    <row r="3" customFormat="false" ht="15" hidden="false" customHeight="false" outlineLevel="0" collapsed="false">
      <c r="A3" s="16"/>
    </row>
    <row r="4" customFormat="false" ht="15" hidden="false" customHeight="false" outlineLevel="0" collapsed="false">
      <c r="A4" s="18" t="s">
        <v>673</v>
      </c>
    </row>
    <row r="5" customFormat="false" ht="15" hidden="false" customHeight="false" outlineLevel="0" collapsed="false">
      <c r="A5" s="16" t="s">
        <v>674</v>
      </c>
    </row>
    <row r="6" customFormat="false" ht="15" hidden="false" customHeight="false" outlineLevel="0" collapsed="false">
      <c r="A6" s="16" t="s">
        <v>675</v>
      </c>
    </row>
    <row r="7" customFormat="false" ht="15" hidden="false" customHeight="false" outlineLevel="0" collapsed="false">
      <c r="A7" s="16" t="s">
        <v>676</v>
      </c>
    </row>
    <row r="8" customFormat="false" ht="15" hidden="false" customHeight="false" outlineLevel="0" collapsed="false">
      <c r="A8" s="16" t="s">
        <v>677</v>
      </c>
    </row>
    <row r="9" customFormat="false" ht="15" hidden="false" customHeight="false" outlineLevel="0" collapsed="false">
      <c r="A9" s="16"/>
    </row>
    <row r="10" customFormat="false" ht="15" hidden="false" customHeight="false" outlineLevel="0" collapsed="false">
      <c r="A10" s="18" t="s">
        <v>678</v>
      </c>
    </row>
    <row r="11" customFormat="false" ht="15" hidden="false" customHeight="false" outlineLevel="0" collapsed="false">
      <c r="A11" s="16" t="s">
        <v>679</v>
      </c>
    </row>
    <row r="12" customFormat="false" ht="15" hidden="false" customHeight="false" outlineLevel="0" collapsed="false">
      <c r="A12" s="16"/>
    </row>
    <row r="13" customFormat="false" ht="15" hidden="false" customHeight="false" outlineLevel="0" collapsed="false">
      <c r="A13" s="18" t="s">
        <v>680</v>
      </c>
    </row>
    <row r="14" customFormat="false" ht="15" hidden="false" customHeight="false" outlineLevel="0" collapsed="false">
      <c r="A14" s="16" t="s">
        <v>681</v>
      </c>
    </row>
    <row r="15" customFormat="false" ht="15" hidden="false" customHeight="false" outlineLevel="0" collapsed="false">
      <c r="A15" s="16" t="s">
        <v>682</v>
      </c>
    </row>
    <row r="16" customFormat="false" ht="15" hidden="false" customHeight="false" outlineLevel="0" collapsed="false">
      <c r="A16" s="16" t="s">
        <v>683</v>
      </c>
    </row>
    <row r="17" customFormat="false" ht="15" hidden="false" customHeight="false" outlineLevel="0" collapsed="false">
      <c r="A17" s="16" t="s">
        <v>684</v>
      </c>
    </row>
    <row r="18" customFormat="false" ht="15" hidden="false" customHeight="false" outlineLevel="0" collapsed="false">
      <c r="A18" s="16" t="s">
        <v>685</v>
      </c>
    </row>
    <row r="19" customFormat="false" ht="15" hidden="false" customHeight="false" outlineLevel="0" collapsed="false">
      <c r="A19" s="16" t="s">
        <v>686</v>
      </c>
    </row>
    <row r="20" customFormat="false" ht="15" hidden="false" customHeight="false" outlineLevel="0" collapsed="false">
      <c r="A20" s="16" t="s">
        <v>687</v>
      </c>
    </row>
    <row r="21" customFormat="false" ht="15" hidden="false" customHeight="false" outlineLevel="0" collapsed="false">
      <c r="A21" s="16"/>
    </row>
    <row r="22" customFormat="false" ht="15" hidden="false" customHeight="false" outlineLevel="0" collapsed="false">
      <c r="A22" s="18" t="s">
        <v>688</v>
      </c>
    </row>
    <row r="23" customFormat="false" ht="15" hidden="false" customHeight="false" outlineLevel="0" collapsed="false">
      <c r="A23" s="16" t="s">
        <v>689</v>
      </c>
    </row>
    <row r="24" customFormat="false" ht="15" hidden="false" customHeight="false" outlineLevel="0" collapsed="false">
      <c r="A24" s="16" t="s">
        <v>690</v>
      </c>
    </row>
    <row r="25" customFormat="false" ht="15" hidden="false" customHeight="false" outlineLevel="0" collapsed="false">
      <c r="A25" s="16" t="s">
        <v>691</v>
      </c>
    </row>
    <row r="26" customFormat="false" ht="15" hidden="false" customHeight="false" outlineLevel="0" collapsed="false">
      <c r="A26" s="16" t="s">
        <v>692</v>
      </c>
    </row>
    <row r="27" customFormat="false" ht="15" hidden="false" customHeight="false" outlineLevel="0" collapsed="false">
      <c r="A27" s="16" t="s">
        <v>693</v>
      </c>
    </row>
    <row r="28" customFormat="false" ht="15" hidden="false" customHeight="false" outlineLevel="0" collapsed="false">
      <c r="A28" s="16" t="s">
        <v>694</v>
      </c>
    </row>
    <row r="29" customFormat="false" ht="15" hidden="false" customHeight="false" outlineLevel="0" collapsed="false">
      <c r="A29" s="16" t="s">
        <v>695</v>
      </c>
    </row>
    <row r="30" customFormat="false" ht="15" hidden="false" customHeight="false" outlineLevel="0" collapsed="false">
      <c r="A30" s="16"/>
    </row>
    <row r="31" customFormat="false" ht="15" hidden="false" customHeight="false" outlineLevel="0" collapsed="false">
      <c r="A31" s="18" t="s">
        <v>696</v>
      </c>
    </row>
    <row r="32" customFormat="false" ht="15" hidden="false" customHeight="false" outlineLevel="0" collapsed="false">
      <c r="A32" s="16" t="s">
        <v>697</v>
      </c>
    </row>
    <row r="33" customFormat="false" ht="15" hidden="false" customHeight="false" outlineLevel="0" collapsed="false">
      <c r="A33" s="16" t="s">
        <v>698</v>
      </c>
    </row>
    <row r="34" customFormat="false" ht="15" hidden="false" customHeight="false" outlineLevel="0" collapsed="false">
      <c r="A34" s="16" t="s">
        <v>699</v>
      </c>
    </row>
    <row r="35" customFormat="false" ht="15" hidden="false" customHeight="false" outlineLevel="0" collapsed="false">
      <c r="A35" s="16" t="s">
        <v>700</v>
      </c>
    </row>
    <row r="36" customFormat="false" ht="15" hidden="false" customHeight="false" outlineLevel="0" collapsed="false">
      <c r="A36" s="16" t="s">
        <v>701</v>
      </c>
    </row>
    <row r="37" customFormat="false" ht="15" hidden="false" customHeight="false" outlineLevel="0" collapsed="false">
      <c r="A37" s="16"/>
    </row>
    <row r="38" customFormat="false" ht="15" hidden="false" customHeight="false" outlineLevel="0" collapsed="false">
      <c r="A38" s="18" t="s">
        <v>702</v>
      </c>
    </row>
    <row r="39" customFormat="false" ht="15" hidden="false" customHeight="false" outlineLevel="0" collapsed="false">
      <c r="A39" s="16" t="s">
        <v>703</v>
      </c>
    </row>
    <row r="40" customFormat="false" ht="15" hidden="false" customHeight="false" outlineLevel="0" collapsed="false">
      <c r="A40" s="16" t="s">
        <v>704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2026-08-04T11:44:49Z</dcterms:created>
  <dc:creator>openpyxl</dc:creator>
  <dc:description/>
  <dc:language>en-US</dc:language>
  <cp:lastModifiedBy/>
  <dcterms:modified xsi:type="dcterms:W3CDTF">2026-08-04T11:44:49Z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